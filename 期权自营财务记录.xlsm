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东方工作\期权业务\期权每日交易\"/>
    </mc:Choice>
  </mc:AlternateContent>
  <bookViews>
    <workbookView xWindow="0" yWindow="0" windowWidth="16395" windowHeight="6705" firstSheet="8" activeTab="9"/>
  </bookViews>
  <sheets>
    <sheet name="20180528_Open" sheetId="16" r:id="rId1"/>
    <sheet name="20180525_Open" sheetId="15" r:id="rId2"/>
    <sheet name="20180524_Open" sheetId="14" r:id="rId3"/>
    <sheet name="20180523_Open" sheetId="13" r:id="rId4"/>
    <sheet name="20180522_Open" sheetId="12" r:id="rId5"/>
    <sheet name="20180521_Open" sheetId="11" r:id="rId6"/>
    <sheet name="20180518_Open" sheetId="10" r:id="rId7"/>
    <sheet name="20180517_Open" sheetId="9" r:id="rId8"/>
    <sheet name="20180516_Open" sheetId="8" r:id="rId9"/>
    <sheet name="20180515_Open" sheetId="7" r:id="rId10"/>
    <sheet name="20180514_Open " sheetId="6" r:id="rId11"/>
    <sheet name="20180511_Open" sheetId="5" r:id="rId12"/>
    <sheet name="20180510_Open" sheetId="4" r:id="rId13"/>
    <sheet name="20180509_Open" sheetId="3" r:id="rId14"/>
    <sheet name="20180508_Open" sheetId="2" r:id="rId15"/>
    <sheet name="Total" sheetId="17" r:id="rId16"/>
  </sheets>
  <calcPr calcId="162913"/>
</workbook>
</file>

<file path=xl/calcChain.xml><?xml version="1.0" encoding="utf-8"?>
<calcChain xmlns="http://schemas.openxmlformats.org/spreadsheetml/2006/main">
  <c r="B26" i="7" l="1"/>
  <c r="B27" i="16"/>
  <c r="E44" i="16" l="1"/>
  <c r="B38" i="16"/>
  <c r="B28" i="16"/>
  <c r="B26" i="16"/>
  <c r="B25" i="16"/>
  <c r="I24" i="16"/>
  <c r="I19" i="16"/>
  <c r="I15" i="16"/>
  <c r="I11" i="16"/>
  <c r="I10" i="16"/>
  <c r="B5" i="16"/>
  <c r="I19" i="15" l="1"/>
  <c r="E44" i="15" l="1"/>
  <c r="B38" i="15"/>
  <c r="B28" i="15"/>
  <c r="B26" i="15"/>
  <c r="B25" i="15"/>
  <c r="I24" i="15"/>
  <c r="I15" i="15"/>
  <c r="I11" i="15"/>
  <c r="I10" i="15"/>
  <c r="B5" i="15"/>
  <c r="E44" i="14" l="1"/>
  <c r="B38" i="14"/>
  <c r="B28" i="14"/>
  <c r="B26" i="14"/>
  <c r="B25" i="14"/>
  <c r="I24" i="14"/>
  <c r="B27" i="14" s="1"/>
  <c r="I19" i="14"/>
  <c r="I15" i="14"/>
  <c r="I11" i="14"/>
  <c r="I10" i="14"/>
  <c r="B5" i="14"/>
  <c r="B38" i="13" l="1"/>
  <c r="E44" i="13"/>
  <c r="B28" i="13"/>
  <c r="B26" i="13"/>
  <c r="B25" i="13"/>
  <c r="I24" i="13"/>
  <c r="I19" i="13"/>
  <c r="I15" i="13"/>
  <c r="I11" i="13"/>
  <c r="I10" i="13"/>
  <c r="B5" i="13"/>
  <c r="B5" i="12" l="1"/>
  <c r="E44" i="12" l="1"/>
  <c r="B28" i="12"/>
  <c r="B26" i="12"/>
  <c r="B25" i="12"/>
  <c r="I24" i="12"/>
  <c r="I19" i="12"/>
  <c r="I15" i="12"/>
  <c r="I11" i="12"/>
  <c r="I10" i="12"/>
  <c r="E44" i="11"/>
  <c r="B28" i="11"/>
  <c r="B26" i="11"/>
  <c r="B25" i="11"/>
  <c r="I24" i="11"/>
  <c r="I19" i="11"/>
  <c r="I15" i="11"/>
  <c r="I11" i="11"/>
  <c r="I10" i="11"/>
  <c r="E44" i="10" l="1"/>
  <c r="B28" i="10"/>
  <c r="B26" i="10"/>
  <c r="B25" i="10"/>
  <c r="I24" i="10"/>
  <c r="I19" i="10"/>
  <c r="I15" i="10"/>
  <c r="I11" i="10"/>
  <c r="I10" i="10"/>
  <c r="E44" i="9" l="1"/>
  <c r="B28" i="9"/>
  <c r="B26" i="9"/>
  <c r="B25" i="9"/>
  <c r="I24" i="9"/>
  <c r="I19" i="9"/>
  <c r="I15" i="9"/>
  <c r="I11" i="9"/>
  <c r="I10" i="9"/>
  <c r="E44" i="8" l="1"/>
  <c r="B28" i="8"/>
  <c r="B26" i="8"/>
  <c r="B25" i="8"/>
  <c r="I24" i="8"/>
  <c r="I19" i="8"/>
  <c r="I15" i="8"/>
  <c r="I11" i="8"/>
  <c r="I10" i="8"/>
  <c r="E44" i="7" l="1"/>
  <c r="B28" i="7"/>
  <c r="B25" i="7"/>
  <c r="I24" i="7"/>
  <c r="I19" i="7"/>
  <c r="I15" i="7"/>
  <c r="I11" i="7"/>
  <c r="I10" i="7"/>
  <c r="E44" i="6" l="1"/>
  <c r="B38" i="6"/>
  <c r="B28" i="6"/>
  <c r="B26" i="6"/>
  <c r="B25" i="6"/>
  <c r="I24" i="6"/>
  <c r="I19" i="6"/>
  <c r="I15" i="6"/>
  <c r="I11" i="6"/>
  <c r="I10" i="6"/>
  <c r="B28" i="5" l="1"/>
  <c r="I24" i="5"/>
  <c r="E44" i="5" l="1"/>
  <c r="B38" i="5"/>
  <c r="B26" i="5"/>
  <c r="B25" i="5"/>
  <c r="I19" i="5"/>
  <c r="I15" i="5"/>
  <c r="I11" i="5"/>
  <c r="I10" i="5"/>
  <c r="I15" i="4" l="1"/>
  <c r="I24" i="4" l="1"/>
  <c r="E44" i="4"/>
  <c r="B38" i="4"/>
  <c r="B28" i="4"/>
  <c r="B26" i="4"/>
  <c r="B25" i="4"/>
  <c r="I19" i="4"/>
  <c r="I11" i="4"/>
  <c r="I10" i="4"/>
  <c r="I24" i="3" l="1"/>
  <c r="I19" i="3"/>
  <c r="I11" i="3"/>
  <c r="I10" i="3"/>
  <c r="E44" i="3" l="1"/>
  <c r="B38" i="3"/>
  <c r="B28" i="3"/>
  <c r="B26" i="3"/>
  <c r="B25" i="3"/>
  <c r="B28" i="2" l="1"/>
  <c r="E10" i="2"/>
  <c r="E10" i="3" s="1"/>
  <c r="E10" i="4" s="1"/>
  <c r="E10" i="5" s="1"/>
  <c r="E10" i="6" s="1"/>
  <c r="E10" i="7" s="1"/>
  <c r="E10" i="8" s="1"/>
  <c r="E10" i="9" s="1"/>
  <c r="E10" i="10" s="1"/>
  <c r="E10" i="11" s="1"/>
  <c r="E10" i="12" s="1"/>
  <c r="E10" i="13" s="1"/>
  <c r="E10" i="14" s="1"/>
  <c r="E10" i="15" s="1"/>
  <c r="E10" i="16" s="1"/>
  <c r="B13" i="2"/>
  <c r="B11" i="2"/>
  <c r="B11" i="3" s="1"/>
  <c r="B11" i="4" s="1"/>
  <c r="B11" i="5" s="1"/>
  <c r="B11" i="6" s="1"/>
  <c r="B11" i="7" s="1"/>
  <c r="B11" i="8" s="1"/>
  <c r="B11" i="9" s="1"/>
  <c r="B11" i="10" s="1"/>
  <c r="B11" i="11" s="1"/>
  <c r="B11" i="12" s="1"/>
  <c r="B11" i="13" s="1"/>
  <c r="B11" i="14" s="1"/>
  <c r="B11" i="15" s="1"/>
  <c r="B11" i="16" s="1"/>
  <c r="B27" i="2" l="1"/>
  <c r="B13" i="3"/>
  <c r="E44" i="2"/>
  <c r="B27" i="3" l="1"/>
  <c r="B13" i="4"/>
  <c r="B38" i="2"/>
  <c r="B26" i="2"/>
  <c r="B25" i="2"/>
  <c r="B27" i="4" l="1"/>
  <c r="B13" i="5"/>
  <c r="B27" i="5" l="1"/>
  <c r="B13" i="6"/>
  <c r="B27" i="6" l="1"/>
  <c r="B13" i="7"/>
  <c r="B27" i="7" l="1"/>
  <c r="B13" i="8"/>
  <c r="B27" i="8" l="1"/>
  <c r="B13" i="9"/>
  <c r="B27" i="9" l="1"/>
  <c r="B13" i="10"/>
  <c r="B27" i="10" l="1"/>
  <c r="B13" i="11"/>
  <c r="B13" i="12" l="1"/>
  <c r="B27" i="11"/>
  <c r="B27" i="12" l="1"/>
  <c r="B13" i="13"/>
  <c r="B27" i="13" l="1"/>
  <c r="B13" i="14"/>
  <c r="B13" i="15" l="1"/>
  <c r="B27" i="15" l="1"/>
  <c r="B13" i="16"/>
</calcChain>
</file>

<file path=xl/comments1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作者</author>
  </authors>
  <commentList>
    <comment ref="E3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E44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9月19日期指交割，当月合约多头市值15,753,600,因此实际Cash Delta 为 -2，732，425</t>
        </r>
      </text>
    </comment>
    <comment ref="C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20160912从302账户转入2111账户200万
20160913从302账户转入2111账户80万
20160913从211账户转入2111账户500万
20161130从2111账户转入211账户1000万
20161202从现货账户201转800万至期权账户211，从现货账户201转500万至期货账户2111
20161206从现货账户201转500万至期权账户211，从现货账户201转1000万至期货账户2111
20161215从资金中心总共入账1个亿资金，其中现货账户201入账9500万，期货账户2111入账500万
20161223从现货账户201转账500万至期货账户211
20161230从期权账户211转账800万至期货账户2111
20170119 现货201转170,000,000至现货账户302，期权211转2,000,000至现货账户302，期货账户2111转7,800,000至现货账户302
20170120 期货账户2111转9,000,000元至现货账户201。
期权账户211转5,000,000元至现货账户201
20170207 现货账户201转5,000,000元至期货账户211
20170208 现货账户201转5,000,000元至期货账户211
20170214 现货账户201转3,000,000元至期货账户2111
20170214 现货账户201转3,000,000元至期权账户211
20170221 期货账户2111转5,000,000元至现货账户201
20170224 现货账户201转3,000,000元至现货账户2111</t>
        </r>
      </text>
    </comment>
    <comment ref="C46" authorId="0" shapeId="0">
      <text>
        <r>
          <rPr>
            <b/>
            <sz val="9"/>
            <color indexed="81"/>
            <rFont val="宋体"/>
            <family val="3"/>
            <charset val="134"/>
          </rPr>
          <t>Dyc:
9月20日股指期货交割，根网系统期货余额有差别：
根网余额：13,173,154.57
交易所余额：
13,171,017.22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<sst xmlns="http://schemas.openxmlformats.org/spreadsheetml/2006/main" count="1411" uniqueCount="104">
  <si>
    <t>账户信息汇总</t>
    <phoneticPr fontId="20" type="noConversion"/>
  </si>
  <si>
    <t>期权做市期货账户2111</t>
    <phoneticPr fontId="20" type="noConversion"/>
  </si>
  <si>
    <t>资金余额</t>
    <phoneticPr fontId="20" type="noConversion"/>
  </si>
  <si>
    <t>期货总持仓</t>
    <phoneticPr fontId="20" type="noConversion"/>
  </si>
  <si>
    <t>多头</t>
    <phoneticPr fontId="20" type="noConversion"/>
  </si>
  <si>
    <t>空头</t>
    <phoneticPr fontId="20" type="noConversion"/>
  </si>
  <si>
    <t>ETF市值</t>
    <phoneticPr fontId="20" type="noConversion"/>
  </si>
  <si>
    <t>可用金额</t>
    <phoneticPr fontId="20" type="noConversion"/>
  </si>
  <si>
    <t>IH 1804</t>
    <phoneticPr fontId="20" type="noConversion"/>
  </si>
  <si>
    <t>总资产</t>
    <phoneticPr fontId="20" type="noConversion"/>
  </si>
  <si>
    <t>保证金</t>
    <phoneticPr fontId="20" type="noConversion"/>
  </si>
  <si>
    <t>IH 1805</t>
    <phoneticPr fontId="20" type="noConversion"/>
  </si>
  <si>
    <t>配置文件限额</t>
    <phoneticPr fontId="20" type="noConversion"/>
  </si>
  <si>
    <t>IH 1806</t>
    <phoneticPr fontId="20" type="noConversion"/>
  </si>
  <si>
    <t>初始资金</t>
    <phoneticPr fontId="20" type="noConversion"/>
  </si>
  <si>
    <t>IH 1809</t>
    <phoneticPr fontId="20" type="noConversion"/>
  </si>
  <si>
    <t>日交易费</t>
    <phoneticPr fontId="20" type="noConversion"/>
  </si>
  <si>
    <t>IF 1804</t>
    <phoneticPr fontId="20" type="noConversion"/>
  </si>
  <si>
    <t>日回购利息</t>
    <phoneticPr fontId="20" type="noConversion"/>
  </si>
  <si>
    <t>日成交张数</t>
    <phoneticPr fontId="20" type="noConversion"/>
  </si>
  <si>
    <t>日回购本金</t>
    <phoneticPr fontId="20" type="noConversion"/>
  </si>
  <si>
    <t>总交易费用</t>
    <phoneticPr fontId="20" type="noConversion"/>
  </si>
  <si>
    <t>期货多头汇总</t>
    <phoneticPr fontId="20" type="noConversion"/>
  </si>
  <si>
    <t>总回购利息</t>
    <phoneticPr fontId="20" type="noConversion"/>
  </si>
  <si>
    <t>期货空头汇总</t>
    <phoneticPr fontId="20" type="noConversion"/>
  </si>
  <si>
    <t>日交易费</t>
    <phoneticPr fontId="20" type="noConversion"/>
  </si>
  <si>
    <t>期货持仓市值</t>
    <phoneticPr fontId="20" type="noConversion"/>
  </si>
  <si>
    <t>总交易费用</t>
    <phoneticPr fontId="20" type="noConversion"/>
  </si>
  <si>
    <t>多头持仓市值</t>
    <phoneticPr fontId="20" type="noConversion"/>
  </si>
  <si>
    <t>ETF份额</t>
    <phoneticPr fontId="20" type="noConversion"/>
  </si>
  <si>
    <t>空头持仓市值</t>
    <phoneticPr fontId="20" type="noConversion"/>
  </si>
  <si>
    <t>2018年现货交易费用</t>
    <phoneticPr fontId="20" type="noConversion"/>
  </si>
  <si>
    <t>轧差市值</t>
    <phoneticPr fontId="20" type="noConversion"/>
  </si>
  <si>
    <t>2018回购利息</t>
    <phoneticPr fontId="20" type="noConversion"/>
  </si>
  <si>
    <t>当前账户余额</t>
    <phoneticPr fontId="20" type="noConversion"/>
  </si>
  <si>
    <t>盈亏</t>
    <phoneticPr fontId="20" type="noConversion"/>
  </si>
  <si>
    <t>手续费合计</t>
    <phoneticPr fontId="20" type="noConversion"/>
  </si>
  <si>
    <t>交易所手续费</t>
    <phoneticPr fontId="20" type="noConversion"/>
  </si>
  <si>
    <t>客户手续费</t>
    <phoneticPr fontId="20" type="noConversion"/>
  </si>
  <si>
    <t>交割费用</t>
    <phoneticPr fontId="20" type="noConversion"/>
  </si>
  <si>
    <t>资金情况汇总</t>
    <phoneticPr fontId="20" type="noConversion"/>
  </si>
  <si>
    <t>委托费用</t>
    <phoneticPr fontId="20" type="noConversion"/>
  </si>
  <si>
    <t>投入本金总额</t>
    <phoneticPr fontId="20" type="noConversion"/>
  </si>
  <si>
    <t>汇总</t>
    <phoneticPr fontId="20" type="noConversion"/>
  </si>
  <si>
    <t>使用资金总额</t>
    <phoneticPr fontId="20" type="noConversion"/>
  </si>
  <si>
    <t>昨日交易费用</t>
    <phoneticPr fontId="20" type="noConversion"/>
  </si>
  <si>
    <t>交易费用总额</t>
    <phoneticPr fontId="20" type="noConversion"/>
  </si>
  <si>
    <t>2018年期货交易费用</t>
    <phoneticPr fontId="20" type="noConversion"/>
  </si>
  <si>
    <t>昨日交易费用汇总</t>
    <phoneticPr fontId="20" type="noConversion"/>
  </si>
  <si>
    <t>期权信息汇总</t>
    <phoneticPr fontId="20" type="noConversion"/>
  </si>
  <si>
    <t>期权合约持仓</t>
    <phoneticPr fontId="20" type="noConversion"/>
  </si>
  <si>
    <t>风险敞口指标</t>
    <phoneticPr fontId="20" type="noConversion"/>
  </si>
  <si>
    <t>3月</t>
    <phoneticPr fontId="20" type="noConversion"/>
  </si>
  <si>
    <t>Cash Delta</t>
    <phoneticPr fontId="20" type="noConversion"/>
  </si>
  <si>
    <t>4月</t>
    <phoneticPr fontId="20" type="noConversion"/>
  </si>
  <si>
    <t>C.Gamma 1%</t>
    <phoneticPr fontId="20" type="noConversion"/>
  </si>
  <si>
    <t>6月</t>
    <phoneticPr fontId="20" type="noConversion"/>
  </si>
  <si>
    <t>Vega</t>
    <phoneticPr fontId="20" type="noConversion"/>
  </si>
  <si>
    <t>9月</t>
    <phoneticPr fontId="20" type="noConversion"/>
  </si>
  <si>
    <t>Theta</t>
    <phoneticPr fontId="20" type="noConversion"/>
  </si>
  <si>
    <t>汇总</t>
    <phoneticPr fontId="20" type="noConversion"/>
  </si>
  <si>
    <t>多头持仓</t>
    <phoneticPr fontId="20" type="noConversion"/>
  </si>
  <si>
    <t>盈亏指标</t>
    <phoneticPr fontId="20" type="noConversion"/>
  </si>
  <si>
    <t>空头持仓</t>
    <phoneticPr fontId="20" type="noConversion"/>
  </si>
  <si>
    <t>理论盈亏</t>
    <phoneticPr fontId="20" type="noConversion"/>
  </si>
  <si>
    <t>当日理论盈亏</t>
    <phoneticPr fontId="20" type="noConversion"/>
  </si>
  <si>
    <t>每日交易盈亏</t>
    <phoneticPr fontId="20" type="noConversion"/>
  </si>
  <si>
    <t>每日持仓盈亏</t>
    <phoneticPr fontId="20" type="noConversion"/>
  </si>
  <si>
    <t>期权自营现货账户306：</t>
    <phoneticPr fontId="19" type="noConversion"/>
  </si>
  <si>
    <t>期权做市期权账户316</t>
    <phoneticPr fontId="20" type="noConversion"/>
  </si>
  <si>
    <t>2018年度做市盈亏</t>
    <phoneticPr fontId="19" type="noConversion"/>
  </si>
  <si>
    <t>2018年度自营盈亏</t>
    <phoneticPr fontId="20" type="noConversion"/>
  </si>
  <si>
    <t>Volatility</t>
    <phoneticPr fontId="20" type="noConversion"/>
  </si>
  <si>
    <t>Base Offsets</t>
    <phoneticPr fontId="20" type="noConversion"/>
  </si>
  <si>
    <t>IH 1812</t>
    <phoneticPr fontId="20" type="noConversion"/>
  </si>
  <si>
    <t>5月</t>
    <phoneticPr fontId="20" type="noConversion"/>
  </si>
  <si>
    <t>12月</t>
    <phoneticPr fontId="20" type="noConversion"/>
  </si>
  <si>
    <t>Futures Offsets</t>
    <phoneticPr fontId="20" type="noConversion"/>
  </si>
  <si>
    <r>
      <t>I</t>
    </r>
    <r>
      <rPr>
        <sz val="11"/>
        <color indexed="8"/>
        <rFont val="宋体"/>
        <family val="3"/>
        <charset val="134"/>
      </rPr>
      <t>H</t>
    </r>
    <phoneticPr fontId="19" type="noConversion"/>
  </si>
  <si>
    <t>IF</t>
    <phoneticPr fontId="19" type="noConversion"/>
  </si>
  <si>
    <r>
      <t>I</t>
    </r>
    <r>
      <rPr>
        <sz val="11"/>
        <color indexed="8"/>
        <rFont val="宋体"/>
        <family val="3"/>
        <charset val="134"/>
      </rPr>
      <t>C</t>
    </r>
    <phoneticPr fontId="19" type="noConversion"/>
  </si>
  <si>
    <t>IH 1807</t>
    <phoneticPr fontId="20" type="noConversion"/>
  </si>
  <si>
    <t>期权资金使用</t>
    <phoneticPr fontId="20" type="noConversion"/>
  </si>
  <si>
    <t>6月</t>
    <phoneticPr fontId="20" type="noConversion"/>
  </si>
  <si>
    <t>7月</t>
    <phoneticPr fontId="20" type="noConversion"/>
  </si>
  <si>
    <t>总回购收入</t>
    <phoneticPr fontId="26" type="noConversion"/>
  </si>
  <si>
    <t>总交易费用</t>
    <phoneticPr fontId="26" type="noConversion"/>
  </si>
  <si>
    <t>Orc理论盈亏</t>
    <phoneticPr fontId="26" type="noConversion"/>
  </si>
  <si>
    <t>资金占用</t>
    <phoneticPr fontId="26" type="noConversion"/>
  </si>
  <si>
    <t>20180525_Open</t>
    <phoneticPr fontId="19" type="noConversion"/>
  </si>
  <si>
    <t>20180524_Open</t>
    <phoneticPr fontId="19" type="noConversion"/>
  </si>
  <si>
    <t>20180523_Open</t>
    <phoneticPr fontId="19" type="noConversion"/>
  </si>
  <si>
    <t>20180522_Open</t>
    <phoneticPr fontId="19" type="noConversion"/>
  </si>
  <si>
    <t>20180521_Open</t>
    <phoneticPr fontId="19" type="noConversion"/>
  </si>
  <si>
    <t>20180518_Open</t>
    <phoneticPr fontId="19" type="noConversion"/>
  </si>
  <si>
    <t>20180517_Open</t>
    <phoneticPr fontId="19" type="noConversion"/>
  </si>
  <si>
    <t>20180516_Open</t>
    <phoneticPr fontId="19" type="noConversion"/>
  </si>
  <si>
    <t>20180515_Open</t>
    <phoneticPr fontId="19" type="noConversion"/>
  </si>
  <si>
    <t xml:space="preserve">20180514_Open </t>
    <phoneticPr fontId="19" type="noConversion"/>
  </si>
  <si>
    <t>20180511_Open</t>
    <phoneticPr fontId="19" type="noConversion"/>
  </si>
  <si>
    <t>20180510_Open</t>
    <phoneticPr fontId="19" type="noConversion"/>
  </si>
  <si>
    <t>20180509_Open</t>
    <phoneticPr fontId="19" type="noConversion"/>
  </si>
  <si>
    <t>20180508_Open</t>
    <phoneticPr fontId="19" type="noConversion"/>
  </si>
  <si>
    <t>20180528_Open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</si>
</sst>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¥&quot;#,##0.00;&quot;¥&quot;\-#,##0.00"/>
    <numFmt numFmtId="44" formatCode="_ &quot;¥&quot;* #,##0.00_ ;_ &quot;¥&quot;* \-#,##0.00_ ;_ &quot;¥&quot;* &quot;-&quot;??_ ;_ @_ "/>
    <numFmt numFmtId="176" formatCode="#,##0.00_ "/>
    <numFmt numFmtId="177" formatCode="#,##0_ "/>
    <numFmt numFmtId="178" formatCode="#,##0.000_);[Red]\(#,##0.000\)"/>
    <numFmt numFmtId="179" formatCode="#,##0.00_);[Red]\(#,##0.00\)"/>
  </numFmts>
  <fonts count="27" x14ac:knownFonts="1">
    <font>
      <sz val="11"/>
      <color indexed="8"/>
      <name val="宋体"/>
      <charset val="134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8" fillId="33" borderId="0" xfId="0" applyFont="1" applyFill="1" applyAlignment="1"/>
    <xf numFmtId="0" fontId="0" fillId="0" borderId="0" xfId="0" applyAlignment="1"/>
    <xf numFmtId="0" fontId="0" fillId="34" borderId="0" xfId="0" applyFill="1" applyAlignment="1"/>
    <xf numFmtId="0" fontId="21" fillId="35" borderId="0" xfId="0" applyFont="1" applyFill="1" applyAlignment="1"/>
    <xf numFmtId="44" fontId="0" fillId="0" borderId="0" xfId="0" applyNumberFormat="1" applyAlignment="1"/>
    <xf numFmtId="0" fontId="21" fillId="0" borderId="0" xfId="0" applyFont="1" applyAlignment="1"/>
    <xf numFmtId="44" fontId="0" fillId="0" borderId="0" xfId="0" applyNumberFormat="1" applyFont="1" applyAlignment="1"/>
    <xf numFmtId="177" fontId="21" fillId="0" borderId="0" xfId="0" applyNumberFormat="1" applyFont="1" applyAlignment="1"/>
    <xf numFmtId="0" fontId="0" fillId="0" borderId="0" xfId="0" applyAlignment="1">
      <alignment horizontal="center"/>
    </xf>
    <xf numFmtId="177" fontId="0" fillId="0" borderId="0" xfId="0" applyNumberFormat="1" applyAlignment="1"/>
    <xf numFmtId="44" fontId="0" fillId="0" borderId="0" xfId="0" applyNumberFormat="1" applyAlignment="1">
      <alignment horizontal="center"/>
    </xf>
    <xf numFmtId="44" fontId="21" fillId="0" borderId="0" xfId="0" applyNumberFormat="1" applyFont="1" applyAlignment="1"/>
    <xf numFmtId="177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176" fontId="0" fillId="0" borderId="0" xfId="0" applyNumberFormat="1" applyAlignment="1"/>
    <xf numFmtId="44" fontId="21" fillId="0" borderId="0" xfId="0" applyNumberFormat="1" applyFont="1" applyAlignment="1">
      <alignment horizontal="center"/>
    </xf>
    <xf numFmtId="3" fontId="0" fillId="0" borderId="0" xfId="0" applyNumberFormat="1" applyAlignment="1"/>
    <xf numFmtId="0" fontId="21" fillId="34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44" fontId="24" fillId="0" borderId="0" xfId="0" applyNumberFormat="1" applyFont="1" applyAlignment="1">
      <alignment horizontal="center"/>
    </xf>
    <xf numFmtId="0" fontId="24" fillId="0" borderId="0" xfId="0" applyFont="1" applyAlignment="1"/>
    <xf numFmtId="0" fontId="25" fillId="0" borderId="0" xfId="0" applyFont="1" applyAlignment="1">
      <alignment horizontal="center" vertical="center"/>
    </xf>
    <xf numFmtId="7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 customBuiltin="1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0"/>
  <sheetViews>
    <sheetView topLeftCell="A4" workbookViewId="0">
      <selection activeCell="C27" sqref="C27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/>
      <c r="D3" s="6" t="s">
        <v>2</v>
      </c>
      <c r="E3" s="7"/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/>
      <c r="D4" s="6" t="s">
        <v>7</v>
      </c>
      <c r="E4" s="7"/>
      <c r="H4" s="6" t="s">
        <v>13</v>
      </c>
      <c r="I4" s="9">
        <v>8</v>
      </c>
      <c r="J4" s="9"/>
    </row>
    <row r="5" spans="1:10" ht="14.25" x14ac:dyDescent="0.2">
      <c r="A5" s="6" t="s">
        <v>9</v>
      </c>
      <c r="B5" s="5">
        <f>B4+B6</f>
        <v>0</v>
      </c>
      <c r="D5" s="6" t="s">
        <v>10</v>
      </c>
      <c r="E5" s="5"/>
      <c r="H5" s="6" t="s">
        <v>81</v>
      </c>
      <c r="I5" s="9">
        <v>5</v>
      </c>
      <c r="J5" s="9"/>
    </row>
    <row r="6" spans="1:10" ht="14.25" x14ac:dyDescent="0.2">
      <c r="A6" s="6" t="s">
        <v>7</v>
      </c>
      <c r="B6" s="5"/>
      <c r="D6" s="6" t="s">
        <v>12</v>
      </c>
      <c r="E6" s="5"/>
      <c r="H6" s="6" t="s">
        <v>15</v>
      </c>
      <c r="I6" s="9">
        <v>6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/>
      <c r="J7" s="9">
        <v>-2</v>
      </c>
    </row>
    <row r="8" spans="1:10" ht="14.25" x14ac:dyDescent="0.2">
      <c r="A8" s="6" t="s">
        <v>14</v>
      </c>
      <c r="B8" s="5">
        <v>23191673.370000001</v>
      </c>
      <c r="D8" s="6" t="s">
        <v>16</v>
      </c>
      <c r="E8" s="7"/>
      <c r="G8" s="6"/>
      <c r="H8" s="6"/>
      <c r="I8" s="9"/>
    </row>
    <row r="9" spans="1:10" ht="14.25" x14ac:dyDescent="0.2">
      <c r="A9" s="6" t="s">
        <v>18</v>
      </c>
      <c r="B9" s="5">
        <v>0</v>
      </c>
      <c r="D9" s="6" t="s">
        <v>19</v>
      </c>
      <c r="E9" s="10"/>
      <c r="H9" s="6"/>
    </row>
    <row r="10" spans="1:10" ht="14.25" x14ac:dyDescent="0.2">
      <c r="A10" s="6" t="s">
        <v>20</v>
      </c>
      <c r="B10" s="5">
        <v>0</v>
      </c>
      <c r="D10" s="6" t="s">
        <v>21</v>
      </c>
      <c r="E10" s="5">
        <f>E8+'20180525_Open'!E10</f>
        <v>3289.6000000000004</v>
      </c>
      <c r="G10" s="6"/>
      <c r="H10" s="6" t="s">
        <v>22</v>
      </c>
      <c r="I10" s="10">
        <f>SUM(I4:I7)</f>
        <v>19</v>
      </c>
    </row>
    <row r="11" spans="1:10" ht="14.25" x14ac:dyDescent="0.2">
      <c r="A11" s="6" t="s">
        <v>23</v>
      </c>
      <c r="B11" s="5">
        <f>B9+'20180525_Open'!B11</f>
        <v>8745.0400000000009</v>
      </c>
      <c r="D11" s="6"/>
      <c r="E11" s="5"/>
      <c r="G11" s="6"/>
      <c r="H11" s="6" t="s">
        <v>24</v>
      </c>
      <c r="I11" s="10">
        <f>SUM(J4:J7)</f>
        <v>-2</v>
      </c>
    </row>
    <row r="12" spans="1:10" ht="14.25" x14ac:dyDescent="0.2">
      <c r="A12" s="6" t="s">
        <v>16</v>
      </c>
      <c r="B12" s="7"/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B12+'20180525_Open'!B13</f>
        <v>5712.61</v>
      </c>
      <c r="E13" s="5"/>
      <c r="G13" s="6"/>
      <c r="H13" s="6" t="s">
        <v>28</v>
      </c>
      <c r="I13" s="11"/>
    </row>
    <row r="14" spans="1:10" ht="14.25" x14ac:dyDescent="0.2">
      <c r="A14" s="6" t="s">
        <v>29</v>
      </c>
      <c r="B14" s="10">
        <v>6951461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3028816.64</v>
      </c>
    </row>
    <row r="17" spans="1:14" ht="14.25" x14ac:dyDescent="0.2">
      <c r="A17" s="12"/>
      <c r="B17" s="5"/>
      <c r="G17" s="6" t="s">
        <v>34</v>
      </c>
      <c r="H17" s="5"/>
      <c r="I17" s="11"/>
    </row>
    <row r="18" spans="1:14" ht="14.25" x14ac:dyDescent="0.2">
      <c r="G18" s="6" t="s">
        <v>10</v>
      </c>
      <c r="H18" s="5"/>
      <c r="I18" s="11"/>
    </row>
    <row r="19" spans="1:14" ht="14.25" x14ac:dyDescent="0.2">
      <c r="A19" s="5"/>
      <c r="G19" s="6" t="s">
        <v>35</v>
      </c>
      <c r="H19" s="5"/>
      <c r="I19" s="11">
        <f>I17+I18-I16</f>
        <v>-3028816.64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/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0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/>
    </row>
    <row r="26" spans="1:14" ht="14.25" x14ac:dyDescent="0.2">
      <c r="A26" s="6" t="s">
        <v>44</v>
      </c>
      <c r="B26" s="5">
        <f>B4+E5+I18</f>
        <v>0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9002.2099999999991</v>
      </c>
    </row>
    <row r="28" spans="1:14" ht="14.25" x14ac:dyDescent="0.2">
      <c r="A28" s="6" t="s">
        <v>48</v>
      </c>
      <c r="B28" s="5">
        <f>B12+E8+I25</f>
        <v>0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56</v>
      </c>
      <c r="B34" s="13">
        <v>1431</v>
      </c>
      <c r="D34" s="6" t="s">
        <v>53</v>
      </c>
      <c r="E34" s="5">
        <v>-22759</v>
      </c>
      <c r="G34" s="6" t="s">
        <v>56</v>
      </c>
      <c r="H34" s="23">
        <v>17.899999999999999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84</v>
      </c>
      <c r="B35" s="13">
        <v>15</v>
      </c>
      <c r="D35" s="6" t="s">
        <v>55</v>
      </c>
      <c r="E35" s="15">
        <v>574656</v>
      </c>
      <c r="G35" s="6" t="s">
        <v>84</v>
      </c>
      <c r="H35" s="23">
        <v>17.57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>
        <v>335</v>
      </c>
      <c r="D36" s="6" t="s">
        <v>57</v>
      </c>
      <c r="E36" s="15">
        <v>19232</v>
      </c>
      <c r="G36" s="6" t="s">
        <v>58</v>
      </c>
      <c r="H36" s="23">
        <v>17.48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>
        <v>463</v>
      </c>
      <c r="D37" s="6" t="s">
        <v>59</v>
      </c>
      <c r="E37" s="5">
        <v>-3132</v>
      </c>
      <c r="G37" s="6" t="s">
        <v>76</v>
      </c>
      <c r="H37" s="23">
        <v>17.88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2244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3">
        <v>1327</v>
      </c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3">
        <v>917</v>
      </c>
      <c r="D40" s="6" t="s">
        <v>64</v>
      </c>
      <c r="E40" s="5">
        <v>2722694</v>
      </c>
      <c r="G40" s="6" t="s">
        <v>56</v>
      </c>
      <c r="H40" s="22">
        <v>6.0000000000000001E-3</v>
      </c>
    </row>
    <row r="41" spans="1:23" s="3" customFormat="1" ht="14.25" x14ac:dyDescent="0.2">
      <c r="A41" s="2"/>
      <c r="B41" s="2"/>
      <c r="D41" s="6" t="s">
        <v>65</v>
      </c>
      <c r="E41" s="5">
        <v>10407</v>
      </c>
      <c r="G41" s="6" t="s">
        <v>84</v>
      </c>
      <c r="H41" s="22">
        <v>1.2E-2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4" t="s">
        <v>82</v>
      </c>
      <c r="B42" s="17"/>
      <c r="D42" s="6" t="s">
        <v>66</v>
      </c>
      <c r="E42" s="5">
        <v>6811</v>
      </c>
      <c r="G42" s="6" t="s">
        <v>58</v>
      </c>
      <c r="H42" s="22">
        <v>2.9000000000000001E-2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A43" s="6" t="s">
        <v>75</v>
      </c>
      <c r="D43" s="6" t="s">
        <v>67</v>
      </c>
      <c r="E43" s="5">
        <v>3596</v>
      </c>
      <c r="G43" s="6" t="s">
        <v>76</v>
      </c>
      <c r="H43" s="22">
        <v>5.5E-2</v>
      </c>
    </row>
    <row r="44" spans="1:23" ht="14.25" x14ac:dyDescent="0.2">
      <c r="A44" s="6" t="s">
        <v>56</v>
      </c>
      <c r="D44" s="6" t="s">
        <v>71</v>
      </c>
      <c r="E44" s="5">
        <f>E40-E45</f>
        <v>92444</v>
      </c>
    </row>
    <row r="45" spans="1:23" ht="14.25" x14ac:dyDescent="0.2">
      <c r="A45" s="6" t="s">
        <v>58</v>
      </c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6" t="s">
        <v>76</v>
      </c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6" t="s">
        <v>43</v>
      </c>
      <c r="B47" s="5"/>
      <c r="C47" s="18"/>
      <c r="F47" s="18"/>
      <c r="G47" s="6" t="s">
        <v>56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84</v>
      </c>
      <c r="H48" s="13">
        <v>-17</v>
      </c>
      <c r="I48" s="13">
        <v>-30</v>
      </c>
      <c r="J48" s="13">
        <v>-39</v>
      </c>
    </row>
    <row r="49" spans="1:10" ht="14.25" x14ac:dyDescent="0.2">
      <c r="A49" s="14"/>
      <c r="B49" s="5"/>
      <c r="F49" s="13"/>
      <c r="G49" s="6" t="s">
        <v>58</v>
      </c>
      <c r="H49" s="13">
        <v>-16</v>
      </c>
      <c r="I49" s="13">
        <v>-50</v>
      </c>
      <c r="J49" s="13">
        <v>-113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-10</v>
      </c>
      <c r="I50" s="13">
        <v>-58</v>
      </c>
      <c r="J50" s="13">
        <v>-185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50"/>
  <sheetViews>
    <sheetView topLeftCell="A34" workbookViewId="0">
      <selection activeCell="E34" sqref="E34:E37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1183240.19</v>
      </c>
      <c r="D3" s="6" t="s">
        <v>2</v>
      </c>
      <c r="E3" s="7">
        <v>5310266.45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18774728.960000001</v>
      </c>
      <c r="D4" s="6" t="s">
        <v>7</v>
      </c>
      <c r="E4" s="7">
        <v>2662328</v>
      </c>
      <c r="H4" s="6" t="s">
        <v>13</v>
      </c>
      <c r="I4" s="9">
        <v>8</v>
      </c>
      <c r="J4" s="9"/>
    </row>
    <row r="5" spans="1:10" ht="14.25" x14ac:dyDescent="0.2">
      <c r="A5" s="6" t="s">
        <v>9</v>
      </c>
      <c r="B5" s="5">
        <f>B4+B6</f>
        <v>19957969.150000002</v>
      </c>
      <c r="D5" s="6" t="s">
        <v>10</v>
      </c>
      <c r="E5" s="5">
        <v>2647938.4500000002</v>
      </c>
      <c r="H5" s="6" t="s">
        <v>81</v>
      </c>
      <c r="I5" s="9">
        <v>3</v>
      </c>
      <c r="J5" s="9"/>
    </row>
    <row r="6" spans="1:10" ht="14.25" x14ac:dyDescent="0.2">
      <c r="A6" s="6" t="s">
        <v>7</v>
      </c>
      <c r="B6" s="5">
        <v>1183240.19</v>
      </c>
      <c r="D6" s="6" t="s">
        <v>12</v>
      </c>
      <c r="E6" s="5"/>
      <c r="H6" s="6" t="s">
        <v>15</v>
      </c>
      <c r="I6" s="9">
        <v>4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2</v>
      </c>
      <c r="J7" s="9"/>
    </row>
    <row r="8" spans="1:10" ht="14.25" x14ac:dyDescent="0.2">
      <c r="A8" s="6" t="s">
        <v>14</v>
      </c>
      <c r="B8" s="5">
        <v>23191673.370000001</v>
      </c>
      <c r="D8" s="6" t="s">
        <v>16</v>
      </c>
      <c r="E8" s="7">
        <v>56</v>
      </c>
      <c r="G8" s="6"/>
      <c r="H8" s="6"/>
      <c r="I8" s="9"/>
    </row>
    <row r="9" spans="1:10" ht="14.25" x14ac:dyDescent="0.2">
      <c r="A9" s="6" t="s">
        <v>18</v>
      </c>
      <c r="B9" s="5">
        <v>0</v>
      </c>
      <c r="D9" s="6" t="s">
        <v>19</v>
      </c>
      <c r="E9" s="10">
        <v>60</v>
      </c>
      <c r="H9" s="6"/>
    </row>
    <row r="10" spans="1:10" ht="14.25" x14ac:dyDescent="0.2">
      <c r="A10" s="6" t="s">
        <v>20</v>
      </c>
      <c r="B10" s="5">
        <v>0</v>
      </c>
      <c r="D10" s="6" t="s">
        <v>21</v>
      </c>
      <c r="E10" s="5">
        <f>E8+'20180524_Open'!E10</f>
        <v>3289.6000000000004</v>
      </c>
      <c r="G10" s="6"/>
      <c r="H10" s="6" t="s">
        <v>22</v>
      </c>
      <c r="I10" s="10">
        <f>SUM(I4:I7)</f>
        <v>17</v>
      </c>
    </row>
    <row r="11" spans="1:10" ht="14.25" x14ac:dyDescent="0.2">
      <c r="A11" s="6" t="s">
        <v>23</v>
      </c>
      <c r="B11" s="5">
        <f>B9+'20180524_Open'!B11</f>
        <v>8745.0400000000009</v>
      </c>
      <c r="D11" s="6"/>
      <c r="E11" s="5"/>
      <c r="G11" s="6"/>
      <c r="H11" s="6" t="s">
        <v>24</v>
      </c>
      <c r="I11" s="10">
        <f>SUM(J4:J7)</f>
        <v>0</v>
      </c>
    </row>
    <row r="12" spans="1:10" ht="14.25" x14ac:dyDescent="0.2">
      <c r="A12" s="6" t="s">
        <v>16</v>
      </c>
      <c r="B12" s="7">
        <v>220.12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B12+'20180524_Open'!B13</f>
        <v>5712.61</v>
      </c>
      <c r="E13" s="5"/>
      <c r="G13" s="6"/>
      <c r="H13" s="6" t="s">
        <v>28</v>
      </c>
      <c r="I13" s="11">
        <v>13469400</v>
      </c>
    </row>
    <row r="14" spans="1:10" ht="14.25" x14ac:dyDescent="0.2">
      <c r="A14" s="6" t="s">
        <v>29</v>
      </c>
      <c r="B14" s="10">
        <v>7071461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13469400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3028816.64</v>
      </c>
    </row>
    <row r="17" spans="1:14" ht="14.25" x14ac:dyDescent="0.2">
      <c r="A17" s="12"/>
      <c r="B17" s="5"/>
      <c r="G17" s="6" t="s">
        <v>34</v>
      </c>
      <c r="H17" s="5"/>
      <c r="I17" s="11">
        <v>573438</v>
      </c>
    </row>
    <row r="18" spans="1:14" ht="14.25" x14ac:dyDescent="0.2">
      <c r="G18" s="6" t="s">
        <v>10</v>
      </c>
      <c r="H18" s="5"/>
      <c r="I18" s="11">
        <v>2598015</v>
      </c>
    </row>
    <row r="19" spans="1:14" ht="14.25" x14ac:dyDescent="0.2">
      <c r="A19" s="5"/>
      <c r="G19" s="6" t="s">
        <v>35</v>
      </c>
      <c r="H19" s="5"/>
      <c r="I19" s="11">
        <f>I17+I18-I16</f>
        <v>142636.35999999987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4021.13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4021.13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54.95</v>
      </c>
    </row>
    <row r="26" spans="1:14" ht="14.25" x14ac:dyDescent="0.2">
      <c r="A26" s="6" t="s">
        <v>44</v>
      </c>
      <c r="B26" s="5">
        <f>B4+E5+I18</f>
        <v>24020682.41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13023.34</v>
      </c>
    </row>
    <row r="28" spans="1:14" ht="14.25" x14ac:dyDescent="0.2">
      <c r="A28" s="6" t="s">
        <v>48</v>
      </c>
      <c r="B28" s="5">
        <f>B12+E8+I25</f>
        <v>331.07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56</v>
      </c>
      <c r="B34" s="13">
        <v>1401</v>
      </c>
      <c r="D34" s="6" t="s">
        <v>53</v>
      </c>
      <c r="E34" s="5">
        <v>524747</v>
      </c>
      <c r="G34" s="6" t="s">
        <v>56</v>
      </c>
      <c r="H34" s="23">
        <v>17.510000000000002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84</v>
      </c>
      <c r="B35" s="13">
        <v>10</v>
      </c>
      <c r="D35" s="6" t="s">
        <v>55</v>
      </c>
      <c r="E35" s="15">
        <v>551467</v>
      </c>
      <c r="G35" s="6" t="s">
        <v>84</v>
      </c>
      <c r="H35" s="23">
        <v>17.27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>
        <v>335</v>
      </c>
      <c r="D36" s="6" t="s">
        <v>57</v>
      </c>
      <c r="E36" s="15">
        <v>19037</v>
      </c>
      <c r="G36" s="6" t="s">
        <v>58</v>
      </c>
      <c r="H36" s="23">
        <v>17.38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>
        <v>473</v>
      </c>
      <c r="D37" s="6" t="s">
        <v>59</v>
      </c>
      <c r="E37" s="5">
        <v>-2889</v>
      </c>
      <c r="G37" s="6" t="s">
        <v>76</v>
      </c>
      <c r="H37" s="23">
        <v>17.77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2219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3">
        <v>1312</v>
      </c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3">
        <v>907</v>
      </c>
      <c r="D40" s="6" t="s">
        <v>64</v>
      </c>
      <c r="E40" s="5">
        <v>2711286</v>
      </c>
      <c r="G40" s="6" t="s">
        <v>56</v>
      </c>
      <c r="H40" s="22">
        <v>7.0000000000000001E-3</v>
      </c>
    </row>
    <row r="41" spans="1:23" s="3" customFormat="1" ht="14.25" x14ac:dyDescent="0.2">
      <c r="A41" s="2"/>
      <c r="B41" s="2"/>
      <c r="D41" s="6" t="s">
        <v>65</v>
      </c>
      <c r="E41" s="5">
        <v>4343</v>
      </c>
      <c r="G41" s="6" t="s">
        <v>84</v>
      </c>
      <c r="H41" s="22">
        <v>1.4999999999999999E-2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4" t="s">
        <v>82</v>
      </c>
      <c r="B42" s="17"/>
      <c r="D42" s="6" t="s">
        <v>66</v>
      </c>
      <c r="E42" s="5">
        <v>-7441</v>
      </c>
      <c r="G42" s="6" t="s">
        <v>58</v>
      </c>
      <c r="H42" s="22">
        <v>2.8000000000000001E-2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A43" s="6" t="s">
        <v>75</v>
      </c>
      <c r="D43" s="6" t="s">
        <v>67</v>
      </c>
      <c r="E43" s="5">
        <v>11784</v>
      </c>
      <c r="G43" s="6" t="s">
        <v>76</v>
      </c>
      <c r="H43" s="22">
        <v>5.8000000000000003E-2</v>
      </c>
    </row>
    <row r="44" spans="1:23" ht="14.25" x14ac:dyDescent="0.2">
      <c r="A44" s="6" t="s">
        <v>56</v>
      </c>
      <c r="D44" s="6" t="s">
        <v>71</v>
      </c>
      <c r="E44" s="5">
        <f>E40-E45</f>
        <v>81036</v>
      </c>
    </row>
    <row r="45" spans="1:23" ht="14.25" x14ac:dyDescent="0.2">
      <c r="A45" s="6" t="s">
        <v>58</v>
      </c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6" t="s">
        <v>76</v>
      </c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6" t="s">
        <v>43</v>
      </c>
      <c r="B47" s="5"/>
      <c r="C47" s="18"/>
      <c r="F47" s="18"/>
      <c r="G47" s="6" t="s">
        <v>56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84</v>
      </c>
      <c r="H48" s="13">
        <v>-16</v>
      </c>
      <c r="I48" s="13">
        <v>-27</v>
      </c>
      <c r="J48" s="13">
        <v>-44</v>
      </c>
    </row>
    <row r="49" spans="1:10" ht="14.25" x14ac:dyDescent="0.2">
      <c r="A49" s="14"/>
      <c r="B49" s="5"/>
      <c r="F49" s="13"/>
      <c r="G49" s="6" t="s">
        <v>58</v>
      </c>
      <c r="H49" s="13">
        <v>-16</v>
      </c>
      <c r="I49" s="13">
        <v>-40</v>
      </c>
      <c r="J49" s="13">
        <v>-113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-11</v>
      </c>
      <c r="I50" s="13">
        <v>-49</v>
      </c>
      <c r="J50" s="13">
        <v>-191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50"/>
  <sheetViews>
    <sheetView topLeftCell="A10" workbookViewId="0">
      <selection activeCell="A16" sqref="A16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1648549.83</v>
      </c>
      <c r="D3" s="6" t="s">
        <v>2</v>
      </c>
      <c r="E3" s="7">
        <v>4523867.5199999996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18329118.399999999</v>
      </c>
      <c r="D4" s="6" t="s">
        <v>7</v>
      </c>
      <c r="E4" s="7">
        <v>1490533.37</v>
      </c>
      <c r="H4" s="6" t="s">
        <v>13</v>
      </c>
      <c r="I4" s="9">
        <v>7</v>
      </c>
      <c r="J4" s="9"/>
    </row>
    <row r="5" spans="1:10" ht="14.25" x14ac:dyDescent="0.2">
      <c r="A5" s="6" t="s">
        <v>9</v>
      </c>
      <c r="B5" s="5">
        <f>B4+B6</f>
        <v>20377702.34</v>
      </c>
      <c r="D5" s="6" t="s">
        <v>10</v>
      </c>
      <c r="E5" s="5">
        <v>2814572.55</v>
      </c>
      <c r="H5" s="6" t="s">
        <v>81</v>
      </c>
      <c r="I5" s="9">
        <v>1</v>
      </c>
      <c r="J5" s="9"/>
    </row>
    <row r="6" spans="1:10" ht="14.25" x14ac:dyDescent="0.2">
      <c r="A6" s="6" t="s">
        <v>7</v>
      </c>
      <c r="B6" s="5">
        <v>2048583.94</v>
      </c>
      <c r="D6" s="6" t="s">
        <v>12</v>
      </c>
      <c r="E6" s="5"/>
      <c r="H6" s="6" t="s">
        <v>15</v>
      </c>
      <c r="I6" s="9">
        <v>4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2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494.4</v>
      </c>
      <c r="G8" s="6"/>
      <c r="H8" s="6"/>
      <c r="I8" s="9"/>
    </row>
    <row r="9" spans="1:10" ht="14.25" x14ac:dyDescent="0.2">
      <c r="A9" s="6" t="s">
        <v>18</v>
      </c>
      <c r="B9" s="5">
        <v>34.11</v>
      </c>
      <c r="D9" s="6" t="s">
        <v>19</v>
      </c>
      <c r="E9" s="10">
        <v>475</v>
      </c>
      <c r="H9" s="6"/>
    </row>
    <row r="10" spans="1:10" ht="14.25" x14ac:dyDescent="0.2">
      <c r="A10" s="6" t="s">
        <v>20</v>
      </c>
      <c r="B10" s="5">
        <v>400000</v>
      </c>
      <c r="D10" s="6" t="s">
        <v>21</v>
      </c>
      <c r="E10" s="5">
        <f>E8+'20180523_Open'!E10</f>
        <v>3233.6000000000004</v>
      </c>
      <c r="G10" s="6"/>
      <c r="H10" s="6" t="s">
        <v>22</v>
      </c>
      <c r="I10" s="10">
        <f>SUM(I4:I7)</f>
        <v>14</v>
      </c>
    </row>
    <row r="11" spans="1:10" ht="14.25" x14ac:dyDescent="0.2">
      <c r="A11" s="6" t="s">
        <v>23</v>
      </c>
      <c r="B11" s="5">
        <f>B9+'20180523_Open'!B11</f>
        <v>8745.0400000000009</v>
      </c>
      <c r="D11" s="6"/>
      <c r="E11" s="5"/>
      <c r="G11" s="6"/>
      <c r="H11" s="6" t="s">
        <v>24</v>
      </c>
      <c r="I11" s="10">
        <f>SUM(J4:J7)</f>
        <v>0</v>
      </c>
    </row>
    <row r="12" spans="1:10" ht="14.25" x14ac:dyDescent="0.2">
      <c r="A12" s="6" t="s">
        <v>16</v>
      </c>
      <c r="B12" s="7">
        <v>242.22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B12+'20180523_Open'!B13</f>
        <v>5492.49</v>
      </c>
      <c r="E13" s="5"/>
      <c r="G13" s="6"/>
      <c r="H13" s="6" t="s">
        <v>28</v>
      </c>
      <c r="I13" s="11">
        <v>11161320</v>
      </c>
    </row>
    <row r="14" spans="1:10" ht="14.25" x14ac:dyDescent="0.2">
      <c r="A14" s="6" t="s">
        <v>29</v>
      </c>
      <c r="B14" s="10">
        <v>6859700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11161320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11">
        <v>733462.23</v>
      </c>
    </row>
    <row r="18" spans="1:14" ht="14.25" x14ac:dyDescent="0.2">
      <c r="G18" s="6" t="s">
        <v>10</v>
      </c>
      <c r="H18" s="5"/>
      <c r="I18" s="11">
        <v>1680543</v>
      </c>
    </row>
    <row r="19" spans="1:14" ht="14.25" x14ac:dyDescent="0.2">
      <c r="A19" s="5"/>
      <c r="G19" s="6" t="s">
        <v>35</v>
      </c>
      <c r="H19" s="5"/>
      <c r="I19" s="11">
        <f>I17+I18-I16</f>
        <v>-314811.41000000015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3929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3929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93.78</v>
      </c>
    </row>
    <row r="26" spans="1:14" ht="14.25" x14ac:dyDescent="0.2">
      <c r="A26" s="6" t="s">
        <v>44</v>
      </c>
      <c r="B26" s="5">
        <f>B4+E5+I18</f>
        <v>22824233.949999999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12655.09</v>
      </c>
    </row>
    <row r="28" spans="1:14" ht="14.25" x14ac:dyDescent="0.2">
      <c r="A28" s="6" t="s">
        <v>48</v>
      </c>
      <c r="B28" s="5">
        <f>B12+E8+I25</f>
        <v>830.4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56</v>
      </c>
      <c r="B34" s="13">
        <v>1376</v>
      </c>
      <c r="D34" s="6" t="s">
        <v>53</v>
      </c>
      <c r="E34" s="5">
        <v>-2003949</v>
      </c>
      <c r="G34" s="6" t="s">
        <v>75</v>
      </c>
      <c r="H34" s="23">
        <v>22.05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84</v>
      </c>
      <c r="B35" s="13">
        <v>0</v>
      </c>
      <c r="D35" s="6" t="s">
        <v>55</v>
      </c>
      <c r="E35" s="15">
        <v>522976</v>
      </c>
      <c r="G35" s="6" t="s">
        <v>56</v>
      </c>
      <c r="H35" s="23">
        <v>17.93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>
        <v>345</v>
      </c>
      <c r="D36" s="6" t="s">
        <v>57</v>
      </c>
      <c r="E36" s="15">
        <v>19054</v>
      </c>
      <c r="G36" s="6" t="s">
        <v>58</v>
      </c>
      <c r="H36" s="23">
        <v>17.809999999999999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>
        <v>488</v>
      </c>
      <c r="D37" s="6" t="s">
        <v>59</v>
      </c>
      <c r="E37" s="5">
        <v>-2848</v>
      </c>
      <c r="G37" s="6" t="s">
        <v>76</v>
      </c>
      <c r="H37" s="23">
        <v>18.5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2209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3">
        <v>1302</v>
      </c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3">
        <v>907</v>
      </c>
      <c r="D40" s="6" t="s">
        <v>64</v>
      </c>
      <c r="E40" s="5">
        <v>2706943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22449</v>
      </c>
      <c r="G41" s="6" t="s">
        <v>56</v>
      </c>
      <c r="H41" s="22">
        <v>7.0000000000000001E-3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4" t="s">
        <v>82</v>
      </c>
      <c r="B42" s="17"/>
      <c r="D42" s="6" t="s">
        <v>66</v>
      </c>
      <c r="E42" s="5">
        <v>-9760</v>
      </c>
      <c r="G42" s="6" t="s">
        <v>58</v>
      </c>
      <c r="H42" s="22">
        <v>2.9000000000000001E-2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A43" s="6" t="s">
        <v>75</v>
      </c>
      <c r="D43" s="6" t="s">
        <v>67</v>
      </c>
      <c r="E43" s="5">
        <v>32209</v>
      </c>
      <c r="G43" s="6" t="s">
        <v>76</v>
      </c>
      <c r="H43" s="22">
        <v>0.06</v>
      </c>
    </row>
    <row r="44" spans="1:23" ht="14.25" x14ac:dyDescent="0.2">
      <c r="A44" s="6" t="s">
        <v>56</v>
      </c>
      <c r="D44" s="6" t="s">
        <v>71</v>
      </c>
      <c r="E44" s="5">
        <f>E40-E45</f>
        <v>76693</v>
      </c>
    </row>
    <row r="45" spans="1:23" ht="14.25" x14ac:dyDescent="0.2">
      <c r="A45" s="6" t="s">
        <v>58</v>
      </c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6" t="s">
        <v>76</v>
      </c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6" t="s">
        <v>43</v>
      </c>
      <c r="B47" s="5"/>
      <c r="C47" s="18"/>
      <c r="F47" s="18"/>
      <c r="G47" s="6" t="s">
        <v>56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84</v>
      </c>
      <c r="H48" s="13">
        <v>-15</v>
      </c>
      <c r="I48" s="13">
        <v>-27</v>
      </c>
      <c r="J48" s="13">
        <v>-38</v>
      </c>
    </row>
    <row r="49" spans="1:10" ht="14.25" x14ac:dyDescent="0.2">
      <c r="A49" s="14"/>
      <c r="B49" s="5"/>
      <c r="F49" s="13"/>
      <c r="G49" s="6" t="s">
        <v>58</v>
      </c>
      <c r="H49" s="13">
        <v>-15</v>
      </c>
      <c r="I49" s="13">
        <v>-40</v>
      </c>
      <c r="J49" s="13">
        <v>-165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-15</v>
      </c>
      <c r="I50" s="13">
        <v>-58</v>
      </c>
      <c r="J50" s="13">
        <v>-248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50"/>
  <sheetViews>
    <sheetView topLeftCell="A13" workbookViewId="0">
      <selection activeCell="I21" sqref="I21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2642280.39</v>
      </c>
      <c r="D3" s="6" t="s">
        <v>2</v>
      </c>
      <c r="E3" s="7">
        <v>4678318.4000000004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17849874.899999999</v>
      </c>
      <c r="D4" s="6" t="s">
        <v>7</v>
      </c>
      <c r="E4" s="7">
        <v>1408668</v>
      </c>
      <c r="H4" s="6" t="s">
        <v>13</v>
      </c>
      <c r="I4" s="9">
        <v>6</v>
      </c>
      <c r="J4" s="9"/>
    </row>
    <row r="5" spans="1:10" ht="14.25" x14ac:dyDescent="0.2">
      <c r="A5" s="6" t="s">
        <v>9</v>
      </c>
      <c r="B5" s="5">
        <f>B4+B6</f>
        <v>21592244.899999999</v>
      </c>
      <c r="D5" s="6" t="s">
        <v>10</v>
      </c>
      <c r="E5" s="5">
        <v>3269650</v>
      </c>
      <c r="H5" s="6" t="s">
        <v>81</v>
      </c>
      <c r="I5" s="9">
        <v>1</v>
      </c>
      <c r="J5" s="9"/>
    </row>
    <row r="6" spans="1:10" ht="14.25" x14ac:dyDescent="0.2">
      <c r="A6" s="6" t="s">
        <v>7</v>
      </c>
      <c r="B6" s="5">
        <v>3742370</v>
      </c>
      <c r="D6" s="6" t="s">
        <v>12</v>
      </c>
      <c r="E6" s="5"/>
      <c r="H6" s="6" t="s">
        <v>15</v>
      </c>
      <c r="I6" s="9">
        <v>5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2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460.8</v>
      </c>
      <c r="G8" s="6"/>
      <c r="H8" s="6"/>
      <c r="I8" s="9"/>
    </row>
    <row r="9" spans="1:10" ht="14.25" x14ac:dyDescent="0.2">
      <c r="A9" s="6" t="s">
        <v>18</v>
      </c>
      <c r="B9" s="5">
        <v>90.02</v>
      </c>
      <c r="D9" s="6" t="s">
        <v>19</v>
      </c>
      <c r="E9" s="10">
        <v>542</v>
      </c>
      <c r="H9" s="6"/>
    </row>
    <row r="10" spans="1:10" ht="14.25" x14ac:dyDescent="0.2">
      <c r="A10" s="6" t="s">
        <v>20</v>
      </c>
      <c r="B10" s="5">
        <v>11000000</v>
      </c>
      <c r="D10" s="6" t="s">
        <v>21</v>
      </c>
      <c r="E10" s="5">
        <f>E8+'20180522_Open'!E10</f>
        <v>2739.2000000000003</v>
      </c>
      <c r="G10" s="6"/>
      <c r="H10" s="6" t="s">
        <v>22</v>
      </c>
      <c r="I10" s="10">
        <f>SUM(I4:I7)</f>
        <v>14</v>
      </c>
    </row>
    <row r="11" spans="1:10" ht="14.25" x14ac:dyDescent="0.2">
      <c r="A11" s="6" t="s">
        <v>23</v>
      </c>
      <c r="B11" s="5">
        <f>B9+'20180522_Open'!B11</f>
        <v>8710.93</v>
      </c>
      <c r="D11" s="6"/>
      <c r="E11" s="5"/>
      <c r="G11" s="6"/>
      <c r="H11" s="6" t="s">
        <v>24</v>
      </c>
      <c r="I11" s="10">
        <f>SUM(J4:J7)</f>
        <v>0</v>
      </c>
    </row>
    <row r="12" spans="1:10" ht="14.25" x14ac:dyDescent="0.2">
      <c r="A12" s="6" t="s">
        <v>16</v>
      </c>
      <c r="B12" s="7">
        <v>286.93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B12+'20180522_Open'!B13</f>
        <v>5250.2699999999995</v>
      </c>
      <c r="E13" s="5"/>
      <c r="G13" s="6"/>
      <c r="H13" s="6" t="s">
        <v>28</v>
      </c>
      <c r="I13" s="11">
        <v>11361060</v>
      </c>
    </row>
    <row r="14" spans="1:10" ht="14.25" x14ac:dyDescent="0.2">
      <c r="A14" s="6" t="s">
        <v>29</v>
      </c>
      <c r="B14" s="10">
        <v>6569700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11361060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11">
        <v>858559.41</v>
      </c>
    </row>
    <row r="18" spans="1:14" ht="14.25" x14ac:dyDescent="0.2">
      <c r="G18" s="6" t="s">
        <v>10</v>
      </c>
      <c r="H18" s="5"/>
      <c r="I18" s="11">
        <v>1701891</v>
      </c>
    </row>
    <row r="19" spans="1:14" ht="14.25" x14ac:dyDescent="0.2">
      <c r="A19" s="5"/>
      <c r="G19" s="6" t="s">
        <v>35</v>
      </c>
      <c r="H19" s="5"/>
      <c r="I19" s="11">
        <f>I17+I18-I16</f>
        <v>-168366.22999999998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3929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3929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93.78</v>
      </c>
    </row>
    <row r="26" spans="1:14" ht="14.25" x14ac:dyDescent="0.2">
      <c r="A26" s="6" t="s">
        <v>44</v>
      </c>
      <c r="B26" s="5">
        <f>B4+E5+I18</f>
        <v>22821415.899999999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11918.47</v>
      </c>
    </row>
    <row r="28" spans="1:14" ht="14.25" x14ac:dyDescent="0.2">
      <c r="A28" s="6" t="s">
        <v>48</v>
      </c>
      <c r="B28" s="5">
        <f>B12+E8+I25</f>
        <v>841.51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>
        <v>255</v>
      </c>
      <c r="D34" s="6" t="s">
        <v>53</v>
      </c>
      <c r="E34" s="5">
        <v>-885371</v>
      </c>
      <c r="G34" s="6" t="s">
        <v>75</v>
      </c>
      <c r="H34" s="23">
        <v>20.82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>
        <v>1261</v>
      </c>
      <c r="D35" s="6" t="s">
        <v>55</v>
      </c>
      <c r="E35" s="15">
        <v>702470</v>
      </c>
      <c r="G35" s="6" t="s">
        <v>56</v>
      </c>
      <c r="H35" s="23">
        <v>16.98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>
        <v>345</v>
      </c>
      <c r="D36" s="6" t="s">
        <v>57</v>
      </c>
      <c r="E36" s="15">
        <v>20141</v>
      </c>
      <c r="G36" s="6" t="s">
        <v>58</v>
      </c>
      <c r="H36" s="23">
        <v>17.25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>
        <v>452</v>
      </c>
      <c r="D37" s="6" t="s">
        <v>59</v>
      </c>
      <c r="E37" s="5">
        <v>-4608</v>
      </c>
      <c r="G37" s="6" t="s">
        <v>76</v>
      </c>
      <c r="H37" s="23">
        <v>17.850000000000001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2313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3">
        <v>1272</v>
      </c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3">
        <v>1041</v>
      </c>
      <c r="D40" s="6" t="s">
        <v>64</v>
      </c>
      <c r="E40" s="5">
        <v>2684494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10639</v>
      </c>
      <c r="G41" s="6" t="s">
        <v>56</v>
      </c>
      <c r="H41" s="22">
        <v>8.9999999999999993E-3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4" t="s">
        <v>82</v>
      </c>
      <c r="B42" s="17"/>
      <c r="D42" s="6" t="s">
        <v>66</v>
      </c>
      <c r="E42" s="5">
        <v>11061</v>
      </c>
      <c r="G42" s="6" t="s">
        <v>58</v>
      </c>
      <c r="H42" s="22">
        <v>0.03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A43" s="6" t="s">
        <v>75</v>
      </c>
      <c r="D43" s="6" t="s">
        <v>67</v>
      </c>
      <c r="E43" s="5">
        <v>-421</v>
      </c>
      <c r="G43" s="6" t="s">
        <v>76</v>
      </c>
      <c r="H43" s="22">
        <v>5.8000000000000003E-2</v>
      </c>
    </row>
    <row r="44" spans="1:23" ht="14.25" x14ac:dyDescent="0.2">
      <c r="A44" s="6" t="s">
        <v>56</v>
      </c>
      <c r="D44" s="6" t="s">
        <v>71</v>
      </c>
      <c r="E44" s="5">
        <f>E40-E45</f>
        <v>54244</v>
      </c>
    </row>
    <row r="45" spans="1:23" ht="14.25" x14ac:dyDescent="0.2">
      <c r="A45" s="6" t="s">
        <v>58</v>
      </c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6" t="s">
        <v>76</v>
      </c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6" t="s">
        <v>43</v>
      </c>
      <c r="B47" s="5"/>
      <c r="C47" s="18"/>
      <c r="F47" s="18"/>
      <c r="G47" s="6" t="s">
        <v>83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84</v>
      </c>
      <c r="H48" s="13">
        <v>-15</v>
      </c>
      <c r="I48" s="13">
        <v>-27</v>
      </c>
      <c r="J48" s="13">
        <v>-38</v>
      </c>
    </row>
    <row r="49" spans="1:10" ht="14.25" x14ac:dyDescent="0.2">
      <c r="A49" s="14"/>
      <c r="B49" s="5"/>
      <c r="F49" s="13"/>
      <c r="G49" s="6" t="s">
        <v>58</v>
      </c>
      <c r="H49" s="13">
        <v>-17</v>
      </c>
      <c r="I49" s="13">
        <v>-40</v>
      </c>
      <c r="J49" s="13">
        <v>-165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-17</v>
      </c>
      <c r="I50" s="13">
        <v>-58</v>
      </c>
      <c r="J50" s="13">
        <v>-248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50"/>
  <sheetViews>
    <sheetView topLeftCell="A33" workbookViewId="0">
      <selection activeCell="E48" sqref="E48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4691709.63</v>
      </c>
      <c r="D3" s="6" t="s">
        <v>2</v>
      </c>
      <c r="E3" s="7">
        <v>3960391.38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17017099.199999999</v>
      </c>
      <c r="D4" s="6" t="s">
        <v>7</v>
      </c>
      <c r="E4" s="7">
        <v>779422.03</v>
      </c>
      <c r="H4" s="6" t="s">
        <v>13</v>
      </c>
      <c r="I4" s="9">
        <v>7</v>
      </c>
      <c r="J4" s="9"/>
    </row>
    <row r="5" spans="1:10" ht="14.25" x14ac:dyDescent="0.2">
      <c r="A5" s="6" t="s">
        <v>9</v>
      </c>
      <c r="B5" s="5">
        <f>B4+B6</f>
        <v>22708894.989999998</v>
      </c>
      <c r="D5" s="6" t="s">
        <v>10</v>
      </c>
      <c r="E5" s="5">
        <v>3180969.35</v>
      </c>
      <c r="H5" s="6" t="s">
        <v>81</v>
      </c>
      <c r="I5" s="9">
        <v>1</v>
      </c>
      <c r="J5" s="9"/>
    </row>
    <row r="6" spans="1:10" ht="14.25" x14ac:dyDescent="0.2">
      <c r="A6" s="6" t="s">
        <v>7</v>
      </c>
      <c r="B6" s="5">
        <v>5691795.79</v>
      </c>
      <c r="D6" s="6" t="s">
        <v>12</v>
      </c>
      <c r="E6" s="5"/>
      <c r="H6" s="6" t="s">
        <v>15</v>
      </c>
      <c r="I6" s="9">
        <v>4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1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177.6</v>
      </c>
      <c r="G8" s="6"/>
      <c r="H8" s="6"/>
      <c r="I8" s="9"/>
    </row>
    <row r="9" spans="1:10" ht="14.25" x14ac:dyDescent="0.2">
      <c r="A9" s="6" t="s">
        <v>18</v>
      </c>
      <c r="B9" s="5">
        <v>86.16</v>
      </c>
      <c r="D9" s="6" t="s">
        <v>19</v>
      </c>
      <c r="E9" s="10">
        <v>217</v>
      </c>
      <c r="H9" s="6"/>
    </row>
    <row r="10" spans="1:10" ht="14.25" x14ac:dyDescent="0.2">
      <c r="A10" s="6" t="s">
        <v>20</v>
      </c>
      <c r="B10" s="5">
        <v>1000000</v>
      </c>
      <c r="D10" s="6" t="s">
        <v>21</v>
      </c>
      <c r="E10" s="5">
        <f>E8+'20180521_Open'!E10</f>
        <v>2278.4</v>
      </c>
      <c r="G10" s="6"/>
      <c r="H10" s="6" t="s">
        <v>22</v>
      </c>
      <c r="I10" s="10">
        <f>SUM(I4:I7)</f>
        <v>13</v>
      </c>
    </row>
    <row r="11" spans="1:10" ht="14.25" x14ac:dyDescent="0.2">
      <c r="A11" s="6" t="s">
        <v>23</v>
      </c>
      <c r="B11" s="5">
        <f>B9+'20180521_Open'!B11</f>
        <v>8620.91</v>
      </c>
      <c r="D11" s="6"/>
      <c r="E11" s="5"/>
      <c r="G11" s="6"/>
      <c r="H11" s="6" t="s">
        <v>24</v>
      </c>
      <c r="I11" s="10">
        <f>SUM(J4:J7)</f>
        <v>0</v>
      </c>
    </row>
    <row r="12" spans="1:10" ht="14.25" x14ac:dyDescent="0.2">
      <c r="A12" s="6" t="s">
        <v>16</v>
      </c>
      <c r="B12" s="7">
        <v>239.53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B12+'20180521_Open'!B13</f>
        <v>4963.3399999999992</v>
      </c>
      <c r="E13" s="5"/>
      <c r="G13" s="6"/>
      <c r="H13" s="6" t="s">
        <v>28</v>
      </c>
      <c r="I13" s="11">
        <v>10627800</v>
      </c>
    </row>
    <row r="14" spans="1:10" ht="14.25" x14ac:dyDescent="0.2">
      <c r="A14" s="6" t="s">
        <v>29</v>
      </c>
      <c r="B14" s="10">
        <v>6219700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10627800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1060413.19</v>
      </c>
    </row>
    <row r="18" spans="1:14" ht="14.25" x14ac:dyDescent="0.2">
      <c r="G18" s="6" t="s">
        <v>10</v>
      </c>
      <c r="H18" s="5"/>
      <c r="I18" s="11">
        <v>1594170</v>
      </c>
    </row>
    <row r="19" spans="1:14" ht="14.25" x14ac:dyDescent="0.2">
      <c r="A19" s="5"/>
      <c r="G19" s="6" t="s">
        <v>35</v>
      </c>
      <c r="H19" s="5"/>
      <c r="I19" s="11">
        <f>I17+I18-I16</f>
        <v>-74233.450000000186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3835.22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3835.22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113.46</v>
      </c>
    </row>
    <row r="26" spans="1:14" ht="14.25" x14ac:dyDescent="0.2">
      <c r="A26" s="6" t="s">
        <v>44</v>
      </c>
      <c r="B26" s="5">
        <f>B4+E5+I18</f>
        <v>21792238.550000001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11076.96</v>
      </c>
    </row>
    <row r="28" spans="1:14" ht="14.25" x14ac:dyDescent="0.2">
      <c r="A28" s="6" t="s">
        <v>48</v>
      </c>
      <c r="B28" s="5">
        <f>B12+E8+I25</f>
        <v>530.59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-139817</v>
      </c>
      <c r="G34" s="6" t="s">
        <v>75</v>
      </c>
      <c r="H34" s="23">
        <v>18.760000000000002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539616</v>
      </c>
      <c r="G35" s="6" t="s">
        <v>56</v>
      </c>
      <c r="H35" s="23">
        <v>17.010000000000002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15314</v>
      </c>
      <c r="G36" s="6" t="s">
        <v>58</v>
      </c>
      <c r="H36" s="23">
        <v>17.489999999999998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-3331</v>
      </c>
      <c r="G37" s="6" t="s">
        <v>76</v>
      </c>
      <c r="H37" s="23">
        <v>17.87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v>2011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2673855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-29975</v>
      </c>
      <c r="G41" s="6" t="s">
        <v>56</v>
      </c>
      <c r="H41" s="22">
        <v>0.01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4" t="s">
        <v>82</v>
      </c>
      <c r="B42" s="17"/>
      <c r="D42" s="6" t="s">
        <v>66</v>
      </c>
      <c r="E42" s="5">
        <v>4997</v>
      </c>
      <c r="G42" s="6" t="s">
        <v>58</v>
      </c>
      <c r="H42" s="22">
        <v>0.03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A43" s="6" t="s">
        <v>75</v>
      </c>
      <c r="D43" s="6" t="s">
        <v>67</v>
      </c>
      <c r="E43" s="5">
        <v>-34973</v>
      </c>
      <c r="G43" s="6" t="s">
        <v>76</v>
      </c>
      <c r="H43" s="22">
        <v>5.3999999999999999E-2</v>
      </c>
    </row>
    <row r="44" spans="1:23" ht="14.25" x14ac:dyDescent="0.2">
      <c r="A44" s="6" t="s">
        <v>56</v>
      </c>
      <c r="D44" s="6" t="s">
        <v>71</v>
      </c>
      <c r="E44" s="5">
        <f>E40-E45</f>
        <v>43605</v>
      </c>
    </row>
    <row r="45" spans="1:23" ht="14.25" x14ac:dyDescent="0.2">
      <c r="A45" s="6" t="s">
        <v>58</v>
      </c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6" t="s">
        <v>76</v>
      </c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6" t="s">
        <v>43</v>
      </c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-15</v>
      </c>
      <c r="I48" s="13">
        <v>-24</v>
      </c>
      <c r="J48" s="13">
        <v>-38</v>
      </c>
    </row>
    <row r="49" spans="1:10" ht="14.25" x14ac:dyDescent="0.2">
      <c r="A49" s="14"/>
      <c r="B49" s="5"/>
      <c r="F49" s="13"/>
      <c r="G49" s="6" t="s">
        <v>58</v>
      </c>
      <c r="H49" s="13">
        <v>-17</v>
      </c>
      <c r="I49" s="13">
        <v>-46</v>
      </c>
      <c r="J49" s="13">
        <v>-165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-19</v>
      </c>
      <c r="I50" s="13">
        <v>-62</v>
      </c>
      <c r="J50" s="13">
        <v>-248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50"/>
  <sheetViews>
    <sheetView topLeftCell="A31" workbookViewId="0">
      <selection activeCell="D41" sqref="D41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4485199.1500000004</v>
      </c>
      <c r="D3" s="6" t="s">
        <v>2</v>
      </c>
      <c r="E3" s="7">
        <v>4015210.25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18200960.100000001</v>
      </c>
      <c r="D4" s="6" t="s">
        <v>7</v>
      </c>
      <c r="E4" s="7">
        <v>1069128.95</v>
      </c>
      <c r="H4" s="6" t="s">
        <v>13</v>
      </c>
      <c r="I4" s="9">
        <v>6</v>
      </c>
      <c r="J4" s="9">
        <v>-1</v>
      </c>
    </row>
    <row r="5" spans="1:10" ht="14.25" x14ac:dyDescent="0.2">
      <c r="A5" s="6" t="s">
        <v>9</v>
      </c>
      <c r="B5" s="5">
        <v>22686159.25</v>
      </c>
      <c r="D5" s="6" t="s">
        <v>10</v>
      </c>
      <c r="E5" s="5">
        <v>2946081.3</v>
      </c>
      <c r="H5" s="6" t="s">
        <v>81</v>
      </c>
      <c r="I5" s="9"/>
      <c r="J5" s="9"/>
    </row>
    <row r="6" spans="1:10" ht="14.25" x14ac:dyDescent="0.2">
      <c r="A6" s="6" t="s">
        <v>7</v>
      </c>
      <c r="B6" s="5">
        <v>4485199.1500000004</v>
      </c>
      <c r="D6" s="6" t="s">
        <v>12</v>
      </c>
      <c r="E6" s="5"/>
      <c r="H6" s="6" t="s">
        <v>15</v>
      </c>
      <c r="I6" s="9">
        <v>1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1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180.8</v>
      </c>
      <c r="G8" s="6"/>
      <c r="H8" s="6"/>
      <c r="I8" s="9"/>
    </row>
    <row r="9" spans="1:10" ht="14.25" x14ac:dyDescent="0.2">
      <c r="A9" s="6" t="s">
        <v>18</v>
      </c>
      <c r="B9" s="5">
        <v>0</v>
      </c>
      <c r="D9" s="6" t="s">
        <v>19</v>
      </c>
      <c r="E9" s="10">
        <v>166</v>
      </c>
      <c r="H9" s="6"/>
    </row>
    <row r="10" spans="1:10" ht="14.25" x14ac:dyDescent="0.2">
      <c r="A10" s="6" t="s">
        <v>20</v>
      </c>
      <c r="B10" s="5">
        <v>0</v>
      </c>
      <c r="D10" s="6" t="s">
        <v>21</v>
      </c>
      <c r="E10" s="5">
        <f>E8+'20180518_Open'!E10</f>
        <v>2100.8000000000002</v>
      </c>
      <c r="G10" s="6"/>
      <c r="H10" s="6" t="s">
        <v>22</v>
      </c>
      <c r="I10" s="10">
        <f>SUM(I4:I7)</f>
        <v>8</v>
      </c>
    </row>
    <row r="11" spans="1:10" ht="14.25" x14ac:dyDescent="0.2">
      <c r="A11" s="6" t="s">
        <v>23</v>
      </c>
      <c r="B11" s="5">
        <f>B9+'20180518_Open'!B11</f>
        <v>8534.75</v>
      </c>
      <c r="D11" s="6"/>
      <c r="E11" s="5"/>
      <c r="G11" s="6"/>
      <c r="H11" s="6" t="s">
        <v>24</v>
      </c>
      <c r="I11" s="10">
        <f>SUM(J4:J7)</f>
        <v>-1</v>
      </c>
    </row>
    <row r="12" spans="1:10" ht="14.25" x14ac:dyDescent="0.2">
      <c r="A12" s="6" t="s">
        <v>16</v>
      </c>
      <c r="B12" s="7">
        <v>484.23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B12+'20180518_Open'!B13</f>
        <v>4723.8099999999995</v>
      </c>
      <c r="E13" s="5"/>
      <c r="G13" s="6"/>
      <c r="H13" s="6" t="s">
        <v>28</v>
      </c>
      <c r="I13" s="11">
        <v>6552540</v>
      </c>
    </row>
    <row r="14" spans="1:10" ht="14.25" x14ac:dyDescent="0.2">
      <c r="A14" s="6" t="s">
        <v>29</v>
      </c>
      <c r="B14" s="10">
        <v>6659700</v>
      </c>
      <c r="G14" s="6"/>
      <c r="H14" s="6" t="s">
        <v>30</v>
      </c>
      <c r="I14" s="11">
        <v>-820560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5731980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1676376.65</v>
      </c>
    </row>
    <row r="18" spans="1:14" ht="14.25" x14ac:dyDescent="0.2">
      <c r="G18" s="6" t="s">
        <v>10</v>
      </c>
      <c r="H18" s="5"/>
      <c r="I18" s="11">
        <v>979290</v>
      </c>
    </row>
    <row r="19" spans="1:14" ht="14.25" x14ac:dyDescent="0.2">
      <c r="A19" s="5"/>
      <c r="G19" s="6" t="s">
        <v>35</v>
      </c>
      <c r="H19" s="5"/>
      <c r="I19" s="11">
        <f>I17+I18-I16</f>
        <v>-73149.990000000224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3721.76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3721.76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442.01</v>
      </c>
    </row>
    <row r="26" spans="1:14" ht="14.25" x14ac:dyDescent="0.2">
      <c r="A26" s="6" t="s">
        <v>44</v>
      </c>
      <c r="B26" s="5">
        <f>B4+E5+I18</f>
        <v>22126331.400000002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10546.369999999999</v>
      </c>
    </row>
    <row r="28" spans="1:14" ht="14.25" x14ac:dyDescent="0.2">
      <c r="A28" s="6" t="s">
        <v>48</v>
      </c>
      <c r="B28" s="5">
        <f>B12+E8+I25</f>
        <v>1107.04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-1828652</v>
      </c>
      <c r="G34" s="6" t="s">
        <v>75</v>
      </c>
      <c r="H34" s="23">
        <v>21.15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501098</v>
      </c>
      <c r="G35" s="6" t="s">
        <v>56</v>
      </c>
      <c r="H35" s="23">
        <v>17.7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14619</v>
      </c>
      <c r="G36" s="6" t="s">
        <v>58</v>
      </c>
      <c r="H36" s="23">
        <v>18.28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-3717</v>
      </c>
      <c r="G37" s="6" t="s">
        <v>76</v>
      </c>
      <c r="H37" s="23">
        <v>19.39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/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2703862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-20541</v>
      </c>
      <c r="G41" s="6" t="s">
        <v>56</v>
      </c>
      <c r="H41" s="22">
        <v>8.0000000000000002E-3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-7368</v>
      </c>
      <c r="G42" s="6" t="s">
        <v>58</v>
      </c>
      <c r="H42" s="22">
        <v>0.03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-13173</v>
      </c>
      <c r="G43" s="6" t="s">
        <v>76</v>
      </c>
      <c r="H43" s="22">
        <v>5.5E-2</v>
      </c>
    </row>
    <row r="44" spans="1:23" ht="14.25" x14ac:dyDescent="0.2">
      <c r="A44" s="5"/>
      <c r="D44" s="6" t="s">
        <v>71</v>
      </c>
      <c r="E44" s="5">
        <f>E40-E45</f>
        <v>73612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14"/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14"/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-10</v>
      </c>
      <c r="I48" s="13">
        <v>-21</v>
      </c>
      <c r="J48" s="13">
        <v>-47</v>
      </c>
    </row>
    <row r="49" spans="1:10" ht="14.25" x14ac:dyDescent="0.2">
      <c r="A49" s="14"/>
      <c r="B49" s="5"/>
      <c r="F49" s="13"/>
      <c r="G49" s="6" t="s">
        <v>58</v>
      </c>
      <c r="H49" s="13">
        <v>-31</v>
      </c>
      <c r="I49" s="13">
        <v>-76</v>
      </c>
      <c r="J49" s="13">
        <v>-165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-31</v>
      </c>
      <c r="I50" s="13">
        <v>-99</v>
      </c>
      <c r="J50" s="13">
        <v>-248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50"/>
  <sheetViews>
    <sheetView workbookViewId="0">
      <selection activeCell="E1" sqref="E1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5164891.24</v>
      </c>
      <c r="D3" s="6" t="s">
        <v>2</v>
      </c>
      <c r="E3" s="7">
        <v>4071009.75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13729227.300000001</v>
      </c>
      <c r="D4" s="6" t="s">
        <v>7</v>
      </c>
      <c r="E4" s="7">
        <v>1578662.4</v>
      </c>
      <c r="H4" s="6" t="s">
        <v>11</v>
      </c>
      <c r="I4" s="9">
        <v>4</v>
      </c>
      <c r="J4" s="9">
        <v>-1</v>
      </c>
    </row>
    <row r="5" spans="1:10" ht="14.25" x14ac:dyDescent="0.2">
      <c r="A5" s="6" t="s">
        <v>9</v>
      </c>
      <c r="B5" s="5">
        <v>22394899.359999999</v>
      </c>
      <c r="D5" s="6" t="s">
        <v>10</v>
      </c>
      <c r="E5" s="5">
        <v>2492347.35</v>
      </c>
      <c r="H5" s="6" t="s">
        <v>13</v>
      </c>
      <c r="I5" s="9">
        <v>9</v>
      </c>
      <c r="J5" s="9">
        <v>-1</v>
      </c>
    </row>
    <row r="6" spans="1:10" ht="14.25" x14ac:dyDescent="0.2">
      <c r="A6" s="6" t="s">
        <v>7</v>
      </c>
      <c r="B6" s="5">
        <v>8665672.6600000001</v>
      </c>
      <c r="D6" s="6" t="s">
        <v>12</v>
      </c>
      <c r="E6" s="5"/>
      <c r="H6" s="6" t="s">
        <v>15</v>
      </c>
      <c r="I6" s="9">
        <v>1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1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454.4</v>
      </c>
      <c r="G8" s="6"/>
      <c r="H8" s="6"/>
      <c r="I8" s="9"/>
    </row>
    <row r="9" spans="1:10" ht="14.25" x14ac:dyDescent="0.2">
      <c r="A9" s="6" t="s">
        <v>18</v>
      </c>
      <c r="B9" s="5">
        <v>781.42</v>
      </c>
      <c r="D9" s="6" t="s">
        <v>19</v>
      </c>
      <c r="E9" s="10">
        <v>439</v>
      </c>
      <c r="H9" s="6"/>
    </row>
    <row r="10" spans="1:10" ht="14.25" x14ac:dyDescent="0.2">
      <c r="A10" s="6" t="s">
        <v>20</v>
      </c>
      <c r="B10" s="5">
        <v>3500000</v>
      </c>
      <c r="D10" s="6" t="s">
        <v>21</v>
      </c>
      <c r="E10" s="5">
        <f>E8+'20180517_Open'!E10</f>
        <v>1920</v>
      </c>
      <c r="G10" s="6"/>
      <c r="H10" s="6" t="s">
        <v>22</v>
      </c>
      <c r="I10" s="10">
        <f>SUM(I4:I7)</f>
        <v>15</v>
      </c>
    </row>
    <row r="11" spans="1:10" ht="14.25" x14ac:dyDescent="0.2">
      <c r="A11" s="6" t="s">
        <v>23</v>
      </c>
      <c r="B11" s="5">
        <f>B9+'20180517_Open'!B11</f>
        <v>8534.75</v>
      </c>
      <c r="D11" s="6"/>
      <c r="E11" s="5"/>
      <c r="G11" s="6"/>
      <c r="H11" s="6" t="s">
        <v>24</v>
      </c>
      <c r="I11" s="10">
        <f>SUM(J4:J7)</f>
        <v>-2</v>
      </c>
    </row>
    <row r="12" spans="1:10" ht="14.25" x14ac:dyDescent="0.2">
      <c r="A12" s="6" t="s">
        <v>16</v>
      </c>
      <c r="B12" s="7">
        <v>566.98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B12+'20180517_Open'!B13</f>
        <v>4239.58</v>
      </c>
      <c r="E13" s="5"/>
      <c r="G13" s="6"/>
      <c r="H13" s="6" t="s">
        <v>28</v>
      </c>
      <c r="I13" s="11">
        <v>12091980</v>
      </c>
    </row>
    <row r="14" spans="1:10" ht="14.25" x14ac:dyDescent="0.2">
      <c r="A14" s="6" t="s">
        <v>29</v>
      </c>
      <c r="B14" s="10">
        <v>5105700</v>
      </c>
      <c r="G14" s="6"/>
      <c r="H14" s="6" t="s">
        <v>30</v>
      </c>
      <c r="I14" s="11">
        <v>-806160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11285820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755108.89</v>
      </c>
    </row>
    <row r="18" spans="1:14" ht="14.25" x14ac:dyDescent="0.2">
      <c r="G18" s="6" t="s">
        <v>10</v>
      </c>
      <c r="H18" s="5"/>
      <c r="I18" s="11">
        <v>1815741</v>
      </c>
    </row>
    <row r="19" spans="1:14" ht="14.25" x14ac:dyDescent="0.2">
      <c r="A19" s="5"/>
      <c r="G19" s="6" t="s">
        <v>35</v>
      </c>
      <c r="H19" s="5"/>
      <c r="I19" s="11">
        <f>I17+I18-I16</f>
        <v>-157966.75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3279.75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3279.75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1330.3</v>
      </c>
    </row>
    <row r="26" spans="1:14" ht="14.25" x14ac:dyDescent="0.2">
      <c r="A26" s="6" t="s">
        <v>44</v>
      </c>
      <c r="B26" s="5">
        <f>B4+E5+I18</f>
        <v>18037315.649999999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9439.33</v>
      </c>
    </row>
    <row r="28" spans="1:14" ht="14.25" x14ac:dyDescent="0.2">
      <c r="A28" s="6" t="s">
        <v>48</v>
      </c>
      <c r="B28" s="5">
        <f>B12+E8+I25</f>
        <v>2351.6799999999998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605145</v>
      </c>
      <c r="G34" s="6" t="s">
        <v>75</v>
      </c>
      <c r="H34" s="23">
        <v>19.38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621968</v>
      </c>
      <c r="G35" s="6" t="s">
        <v>56</v>
      </c>
      <c r="H35" s="23">
        <v>18.63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13002</v>
      </c>
      <c r="G36" s="6" t="s">
        <v>58</v>
      </c>
      <c r="H36" s="23">
        <v>18.91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-4304</v>
      </c>
      <c r="G37" s="6" t="s">
        <v>76</v>
      </c>
      <c r="H37" s="23">
        <v>19.39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/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2724403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14507</v>
      </c>
      <c r="G41" s="6" t="s">
        <v>56</v>
      </c>
      <c r="H41" s="22">
        <v>8.0000000000000002E-3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20666</v>
      </c>
      <c r="G42" s="6" t="s">
        <v>58</v>
      </c>
      <c r="H42" s="22">
        <v>2.7E-2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-6159</v>
      </c>
      <c r="G43" s="6" t="s">
        <v>76</v>
      </c>
      <c r="H43" s="22">
        <v>5.0999999999999997E-2</v>
      </c>
    </row>
    <row r="44" spans="1:23" ht="14.25" x14ac:dyDescent="0.2">
      <c r="A44" s="5"/>
      <c r="D44" s="6" t="s">
        <v>71</v>
      </c>
      <c r="E44" s="5">
        <f>E40-E45</f>
        <v>94153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14"/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14"/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-10</v>
      </c>
      <c r="I48" s="13">
        <v>-21</v>
      </c>
      <c r="J48" s="13">
        <v>-47</v>
      </c>
    </row>
    <row r="49" spans="1:10" ht="14.25" x14ac:dyDescent="0.2">
      <c r="A49" s="14"/>
      <c r="B49" s="5"/>
      <c r="F49" s="13"/>
      <c r="G49" s="6" t="s">
        <v>58</v>
      </c>
      <c r="H49" s="13">
        <v>-31</v>
      </c>
      <c r="I49" s="13">
        <v>-76</v>
      </c>
      <c r="J49" s="13">
        <v>-165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-31</v>
      </c>
      <c r="I50" s="13">
        <v>-99</v>
      </c>
      <c r="J50" s="13">
        <v>-248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50"/>
  <sheetViews>
    <sheetView workbookViewId="0">
      <selection activeCell="B9" sqref="B9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5137278.3</v>
      </c>
      <c r="D3" s="6" t="s">
        <v>2</v>
      </c>
      <c r="E3" s="7">
        <v>4605072.9000000004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11334220.5</v>
      </c>
      <c r="D4" s="6" t="s">
        <v>7</v>
      </c>
      <c r="E4" s="7">
        <v>2407920.2999999998</v>
      </c>
      <c r="H4" s="6" t="s">
        <v>11</v>
      </c>
      <c r="I4" s="9">
        <v>1</v>
      </c>
      <c r="J4" s="9">
        <v>-1</v>
      </c>
    </row>
    <row r="5" spans="1:10" ht="14.25" x14ac:dyDescent="0.2">
      <c r="A5" s="6" t="s">
        <v>9</v>
      </c>
      <c r="B5" s="5">
        <v>22472034.57</v>
      </c>
      <c r="D5" s="6" t="s">
        <v>10</v>
      </c>
      <c r="E5" s="5">
        <v>2197152.6</v>
      </c>
      <c r="H5" s="6" t="s">
        <v>13</v>
      </c>
      <c r="I5" s="9">
        <v>8</v>
      </c>
      <c r="J5" s="9">
        <v>-1</v>
      </c>
    </row>
    <row r="6" spans="1:10" ht="14.25" x14ac:dyDescent="0.2">
      <c r="A6" s="6" t="s">
        <v>7</v>
      </c>
      <c r="B6" s="5">
        <v>11137814.07</v>
      </c>
      <c r="D6" s="6" t="s">
        <v>12</v>
      </c>
      <c r="E6" s="5"/>
      <c r="H6" s="6" t="s">
        <v>15</v>
      </c>
      <c r="I6" s="9">
        <v>1</v>
      </c>
      <c r="J6" s="9"/>
    </row>
    <row r="7" spans="1:10" ht="14.25" x14ac:dyDescent="0.2">
      <c r="A7" s="6" t="s">
        <v>12</v>
      </c>
      <c r="B7" s="5"/>
      <c r="D7" s="6" t="s">
        <v>14</v>
      </c>
      <c r="E7" s="7">
        <v>5089896.1500000004</v>
      </c>
      <c r="H7" s="6" t="s">
        <v>74</v>
      </c>
      <c r="I7" s="9">
        <v>1</v>
      </c>
      <c r="J7" s="9"/>
    </row>
    <row r="8" spans="1:10" ht="14.25" x14ac:dyDescent="0.2">
      <c r="A8" s="6" t="s">
        <v>14</v>
      </c>
      <c r="B8" s="5">
        <v>23491673.370000001</v>
      </c>
      <c r="D8" s="6" t="s">
        <v>16</v>
      </c>
      <c r="E8" s="7">
        <v>574.4</v>
      </c>
      <c r="G8" s="6"/>
      <c r="H8" s="6"/>
      <c r="I8" s="9"/>
    </row>
    <row r="9" spans="1:10" ht="14.25" x14ac:dyDescent="0.2">
      <c r="A9" s="6" t="s">
        <v>18</v>
      </c>
      <c r="B9" s="5">
        <v>535.77</v>
      </c>
      <c r="D9" s="6" t="s">
        <v>19</v>
      </c>
      <c r="E9" s="10">
        <v>612</v>
      </c>
      <c r="H9" s="6"/>
    </row>
    <row r="10" spans="1:10" ht="14.25" x14ac:dyDescent="0.2">
      <c r="A10" s="6" t="s">
        <v>20</v>
      </c>
      <c r="B10" s="5">
        <v>6000000</v>
      </c>
      <c r="D10" s="6" t="s">
        <v>21</v>
      </c>
      <c r="E10" s="5">
        <f>E8+'20180516_Open'!E10</f>
        <v>1465.6</v>
      </c>
      <c r="G10" s="6"/>
      <c r="H10" s="6" t="s">
        <v>22</v>
      </c>
      <c r="I10" s="10">
        <f>SUM(I4:I7)</f>
        <v>11</v>
      </c>
    </row>
    <row r="11" spans="1:10" ht="14.25" x14ac:dyDescent="0.2">
      <c r="A11" s="6" t="s">
        <v>23</v>
      </c>
      <c r="B11" s="5">
        <f>B9+'20180516_Open'!B11</f>
        <v>7753.33</v>
      </c>
      <c r="D11" s="6"/>
      <c r="E11" s="5"/>
      <c r="G11" s="6"/>
      <c r="H11" s="6" t="s">
        <v>24</v>
      </c>
      <c r="I11" s="10">
        <f>SUM(J4:J7)</f>
        <v>-2</v>
      </c>
    </row>
    <row r="12" spans="1:10" ht="14.25" x14ac:dyDescent="0.2">
      <c r="A12" s="6" t="s">
        <v>16</v>
      </c>
      <c r="B12" s="7">
        <v>497.92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B12+'20180516_Open'!B13</f>
        <v>3672.6</v>
      </c>
      <c r="E13" s="5"/>
      <c r="G13" s="6"/>
      <c r="H13" s="6" t="s">
        <v>28</v>
      </c>
      <c r="I13" s="11">
        <v>8914800</v>
      </c>
    </row>
    <row r="14" spans="1:10" ht="14.25" x14ac:dyDescent="0.2">
      <c r="A14" s="6" t="s">
        <v>29</v>
      </c>
      <c r="B14" s="10">
        <v>4190100</v>
      </c>
      <c r="G14" s="6"/>
      <c r="H14" s="6" t="s">
        <v>30</v>
      </c>
      <c r="I14" s="11">
        <v>-1625580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7289220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1297270.19</v>
      </c>
    </row>
    <row r="18" spans="1:14" ht="14.25" x14ac:dyDescent="0.2">
      <c r="G18" s="6" t="s">
        <v>10</v>
      </c>
      <c r="H18" s="5"/>
      <c r="I18" s="11">
        <v>1339929</v>
      </c>
    </row>
    <row r="19" spans="1:14" ht="14.25" x14ac:dyDescent="0.2">
      <c r="A19" s="5"/>
      <c r="G19" s="6" t="s">
        <v>35</v>
      </c>
      <c r="H19" s="5"/>
      <c r="I19" s="11">
        <f>I17+I18-I16</f>
        <v>-91617.450000000186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1949.45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1949.45</v>
      </c>
    </row>
    <row r="25" spans="1:14" ht="14.25" x14ac:dyDescent="0.2">
      <c r="A25" s="6" t="s">
        <v>42</v>
      </c>
      <c r="B25" s="5">
        <f>B8+E7+I16+B45</f>
        <v>31310386.160000004</v>
      </c>
      <c r="H25" s="6" t="s">
        <v>45</v>
      </c>
      <c r="I25" s="5">
        <v>244.85</v>
      </c>
    </row>
    <row r="26" spans="1:14" ht="14.25" x14ac:dyDescent="0.2">
      <c r="A26" s="6" t="s">
        <v>44</v>
      </c>
      <c r="B26" s="5">
        <f>B4+E5+I18</f>
        <v>14871302.1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7087.65</v>
      </c>
    </row>
    <row r="28" spans="1:14" ht="14.25" x14ac:dyDescent="0.2">
      <c r="A28" s="6" t="s">
        <v>48</v>
      </c>
      <c r="B28" s="5">
        <f>B12+E8+I25</f>
        <v>1317.1699999999998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200470</v>
      </c>
      <c r="G34" s="6" t="s">
        <v>75</v>
      </c>
      <c r="H34" s="23">
        <v>19.61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446611</v>
      </c>
      <c r="G35" s="6" t="s">
        <v>56</v>
      </c>
      <c r="H35" s="23">
        <v>19.66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10679</v>
      </c>
      <c r="G36" s="6" t="s">
        <v>58</v>
      </c>
      <c r="H36" s="23">
        <v>19.739999999999998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-3245</v>
      </c>
      <c r="G37" s="6" t="s">
        <v>76</v>
      </c>
      <c r="H37" s="23">
        <v>20.02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/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2709896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44916</v>
      </c>
      <c r="G41" s="6" t="s">
        <v>56</v>
      </c>
      <c r="H41" s="22">
        <v>0.01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21413</v>
      </c>
      <c r="G42" s="6" t="s">
        <v>58</v>
      </c>
      <c r="H42" s="22">
        <v>0.03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23503</v>
      </c>
      <c r="G43" s="6" t="s">
        <v>76</v>
      </c>
      <c r="H43" s="22">
        <v>5.2999999999999999E-2</v>
      </c>
    </row>
    <row r="44" spans="1:23" ht="14.25" x14ac:dyDescent="0.2">
      <c r="A44" s="5"/>
      <c r="D44" s="6" t="s">
        <v>71</v>
      </c>
      <c r="E44" s="5">
        <f>E40-E45</f>
        <v>79646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14"/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14"/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-8</v>
      </c>
      <c r="I48" s="13">
        <v>-21</v>
      </c>
      <c r="J48" s="13">
        <v>-42</v>
      </c>
    </row>
    <row r="49" spans="1:10" ht="14.25" x14ac:dyDescent="0.2">
      <c r="A49" s="14"/>
      <c r="B49" s="5"/>
      <c r="F49" s="13"/>
      <c r="G49" s="6" t="s">
        <v>58</v>
      </c>
      <c r="H49" s="13">
        <v>-32</v>
      </c>
      <c r="I49" s="13">
        <v>-77</v>
      </c>
      <c r="J49" s="13">
        <v>-160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-32</v>
      </c>
      <c r="I50" s="13">
        <v>-99</v>
      </c>
      <c r="J50" s="13">
        <v>-238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50"/>
  <sheetViews>
    <sheetView topLeftCell="A10" workbookViewId="0">
      <selection activeCell="E44" sqref="E44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7599095.2800000003</v>
      </c>
      <c r="D3" s="6" t="s">
        <v>2</v>
      </c>
      <c r="E3" s="7">
        <v>2740652.5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8001074</v>
      </c>
      <c r="D4" s="6" t="s">
        <v>7</v>
      </c>
      <c r="E4" s="7">
        <v>1199722.2</v>
      </c>
      <c r="H4" s="6" t="s">
        <v>11</v>
      </c>
      <c r="I4" s="9">
        <v>1</v>
      </c>
      <c r="J4" s="9"/>
    </row>
    <row r="5" spans="1:10" ht="14.25" x14ac:dyDescent="0.2">
      <c r="A5" s="6" t="s">
        <v>9</v>
      </c>
      <c r="B5" s="5">
        <v>24600964.690000001</v>
      </c>
      <c r="D5" s="6" t="s">
        <v>10</v>
      </c>
      <c r="E5" s="5">
        <v>1540930.3</v>
      </c>
      <c r="H5" s="6" t="s">
        <v>13</v>
      </c>
      <c r="I5" s="9">
        <v>3</v>
      </c>
      <c r="J5" s="9"/>
    </row>
    <row r="6" spans="1:10" ht="14.25" x14ac:dyDescent="0.2">
      <c r="A6" s="6" t="s">
        <v>7</v>
      </c>
      <c r="B6" s="5">
        <v>16599890.689999999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555.20000000000005</v>
      </c>
      <c r="G8" s="6"/>
      <c r="H8" s="6"/>
      <c r="I8" s="9"/>
    </row>
    <row r="9" spans="1:10" ht="14.25" x14ac:dyDescent="0.2">
      <c r="A9" s="6" t="s">
        <v>18</v>
      </c>
      <c r="B9" s="5">
        <v>795.41</v>
      </c>
      <c r="D9" s="6" t="s">
        <v>19</v>
      </c>
      <c r="E9" s="10">
        <v>617</v>
      </c>
      <c r="H9" s="6"/>
    </row>
    <row r="10" spans="1:10" ht="14.25" x14ac:dyDescent="0.2">
      <c r="A10" s="6" t="s">
        <v>20</v>
      </c>
      <c r="B10" s="5">
        <v>9500000</v>
      </c>
      <c r="D10" s="6" t="s">
        <v>21</v>
      </c>
      <c r="E10" s="5">
        <f>E8+'20180515_Open'!E10</f>
        <v>891.2</v>
      </c>
      <c r="G10" s="6"/>
      <c r="H10" s="6" t="s">
        <v>22</v>
      </c>
      <c r="I10" s="10">
        <f>SUM(I4:I7)</f>
        <v>4</v>
      </c>
    </row>
    <row r="11" spans="1:10" ht="14.25" x14ac:dyDescent="0.2">
      <c r="A11" s="6" t="s">
        <v>23</v>
      </c>
      <c r="B11" s="5">
        <f>B9+'20180515_Open'!B11</f>
        <v>7217.5599999999995</v>
      </c>
      <c r="D11" s="6"/>
      <c r="E11" s="5"/>
      <c r="G11" s="6"/>
      <c r="H11" s="6" t="s">
        <v>24</v>
      </c>
      <c r="I11" s="10">
        <f>SUM(J4:J7)</f>
        <v>0</v>
      </c>
    </row>
    <row r="12" spans="1:10" ht="14.25" x14ac:dyDescent="0.2">
      <c r="A12" s="6" t="s">
        <v>16</v>
      </c>
      <c r="B12" s="7">
        <v>343.27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B12+'20180515_Open'!B13</f>
        <v>3174.68</v>
      </c>
      <c r="E13" s="5"/>
      <c r="G13" s="6"/>
      <c r="H13" s="6" t="s">
        <v>28</v>
      </c>
      <c r="I13" s="11">
        <v>3291720</v>
      </c>
    </row>
    <row r="14" spans="1:10" ht="14.25" x14ac:dyDescent="0.2">
      <c r="A14" s="6" t="s">
        <v>29</v>
      </c>
      <c r="B14" s="10">
        <v>2920100</v>
      </c>
      <c r="G14" s="6"/>
      <c r="H14" s="6" t="s">
        <v>30</v>
      </c>
      <c r="I14" s="11">
        <v>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3291720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2185932.04</v>
      </c>
    </row>
    <row r="18" spans="1:14" ht="14.25" x14ac:dyDescent="0.2">
      <c r="G18" s="6" t="s">
        <v>10</v>
      </c>
      <c r="H18" s="5"/>
      <c r="I18" s="11">
        <v>492723</v>
      </c>
    </row>
    <row r="19" spans="1:14" ht="14.25" x14ac:dyDescent="0.2">
      <c r="A19" s="5"/>
      <c r="G19" s="6" t="s">
        <v>35</v>
      </c>
      <c r="H19" s="5"/>
      <c r="I19" s="11">
        <f>I17+I18-I16</f>
        <v>-50161.600000000093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1704.6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1704.6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>
        <v>397.39</v>
      </c>
    </row>
    <row r="26" spans="1:14" ht="14.25" x14ac:dyDescent="0.2">
      <c r="A26" s="6" t="s">
        <v>44</v>
      </c>
      <c r="B26" s="5">
        <f>B4+E5+I18</f>
        <v>10034727.300000001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5770.48</v>
      </c>
    </row>
    <row r="28" spans="1:14" ht="14.25" x14ac:dyDescent="0.2">
      <c r="A28" s="6" t="s">
        <v>48</v>
      </c>
      <c r="B28" s="5">
        <f>B12+E8+I25</f>
        <v>1295.8600000000001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-224561</v>
      </c>
      <c r="G34" s="6" t="s">
        <v>75</v>
      </c>
      <c r="H34" s="23">
        <v>20.170000000000002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203749</v>
      </c>
      <c r="G35" s="6" t="s">
        <v>56</v>
      </c>
      <c r="H35" s="23">
        <v>18.829999999999998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7750</v>
      </c>
      <c r="G36" s="6" t="s">
        <v>58</v>
      </c>
      <c r="H36" s="23">
        <v>18.5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-1556</v>
      </c>
      <c r="G37" s="6" t="s">
        <v>76</v>
      </c>
      <c r="H37" s="23">
        <v>18.78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/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2664980</v>
      </c>
      <c r="G40" s="6" t="s">
        <v>75</v>
      </c>
      <c r="H40" s="22">
        <v>0</v>
      </c>
    </row>
    <row r="41" spans="1:23" s="3" customFormat="1" ht="14.25" x14ac:dyDescent="0.2">
      <c r="A41" s="2"/>
      <c r="B41" s="2"/>
      <c r="D41" s="6" t="s">
        <v>65</v>
      </c>
      <c r="E41" s="5">
        <v>4273</v>
      </c>
      <c r="G41" s="6" t="s">
        <v>56</v>
      </c>
      <c r="H41" s="22">
        <v>1.2999999999999999E-2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4945</v>
      </c>
      <c r="G42" s="6" t="s">
        <v>58</v>
      </c>
      <c r="H42" s="22">
        <v>3.5000000000000003E-2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-672</v>
      </c>
      <c r="G43" s="6" t="s">
        <v>76</v>
      </c>
      <c r="H43" s="22">
        <v>0.06</v>
      </c>
    </row>
    <row r="44" spans="1:23" ht="14.25" x14ac:dyDescent="0.2">
      <c r="A44" s="5"/>
      <c r="D44" s="6" t="s">
        <v>71</v>
      </c>
      <c r="E44" s="5">
        <f>E40-E45</f>
        <v>34730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14"/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14"/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-10</v>
      </c>
      <c r="I48" s="13">
        <v>-20</v>
      </c>
      <c r="J48" s="13">
        <v>-42</v>
      </c>
    </row>
    <row r="49" spans="1:10" ht="14.25" x14ac:dyDescent="0.2">
      <c r="A49" s="14"/>
      <c r="B49" s="5"/>
      <c r="F49" s="13"/>
      <c r="G49" s="6" t="s">
        <v>58</v>
      </c>
      <c r="H49" s="13">
        <v>-34</v>
      </c>
      <c r="I49" s="13">
        <v>-76</v>
      </c>
      <c r="J49" s="13">
        <v>-160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-32</v>
      </c>
      <c r="I50" s="13">
        <v>-92</v>
      </c>
      <c r="J50" s="13">
        <v>-238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W50"/>
  <sheetViews>
    <sheetView tabSelected="1" topLeftCell="A10" workbookViewId="0">
      <selection activeCell="B26" sqref="B26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8759261.0199999996</v>
      </c>
      <c r="D3" s="6" t="s">
        <v>2</v>
      </c>
      <c r="E3" s="7">
        <v>3128965.55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6341224.5</v>
      </c>
      <c r="D4" s="6" t="s">
        <v>7</v>
      </c>
      <c r="E4" s="7">
        <v>2611857.5499999998</v>
      </c>
      <c r="H4" s="6" t="s">
        <v>11</v>
      </c>
      <c r="I4" s="9">
        <v>1</v>
      </c>
      <c r="J4" s="9">
        <v>-3</v>
      </c>
    </row>
    <row r="5" spans="1:10" ht="14.25" x14ac:dyDescent="0.2">
      <c r="A5" s="6" t="s">
        <v>9</v>
      </c>
      <c r="B5" s="5">
        <v>24601273.050000001</v>
      </c>
      <c r="D5" s="6" t="s">
        <v>10</v>
      </c>
      <c r="E5" s="5">
        <v>517108</v>
      </c>
      <c r="H5" s="6" t="s">
        <v>13</v>
      </c>
      <c r="I5" s="9"/>
      <c r="J5" s="9">
        <v>-1</v>
      </c>
    </row>
    <row r="6" spans="1:10" ht="14.25" x14ac:dyDescent="0.2">
      <c r="A6" s="6" t="s">
        <v>7</v>
      </c>
      <c r="B6" s="5">
        <v>18260048.550000001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32</v>
      </c>
      <c r="G8" s="6"/>
      <c r="H8" s="6"/>
      <c r="I8" s="9"/>
    </row>
    <row r="9" spans="1:10" ht="14.25" x14ac:dyDescent="0.2">
      <c r="A9" s="6" t="s">
        <v>18</v>
      </c>
      <c r="B9" s="5">
        <v>787.53</v>
      </c>
      <c r="D9" s="6" t="s">
        <v>19</v>
      </c>
      <c r="E9" s="10">
        <v>20</v>
      </c>
      <c r="H9" s="6"/>
    </row>
    <row r="10" spans="1:10" ht="14.25" x14ac:dyDescent="0.2">
      <c r="A10" s="6" t="s">
        <v>20</v>
      </c>
      <c r="B10" s="5">
        <v>9500000</v>
      </c>
      <c r="D10" s="6" t="s">
        <v>21</v>
      </c>
      <c r="E10" s="5">
        <f>E8+'20180514_Open '!E10</f>
        <v>336</v>
      </c>
      <c r="G10" s="6"/>
      <c r="H10" s="6" t="s">
        <v>22</v>
      </c>
      <c r="I10" s="10">
        <f>SUM(I4:I7)</f>
        <v>1</v>
      </c>
    </row>
    <row r="11" spans="1:10" ht="14.25" x14ac:dyDescent="0.2">
      <c r="A11" s="6" t="s">
        <v>23</v>
      </c>
      <c r="B11" s="5">
        <f>B9+'20180514_Open '!B11</f>
        <v>6422.15</v>
      </c>
      <c r="D11" s="6"/>
      <c r="E11" s="5"/>
      <c r="G11" s="6"/>
      <c r="H11" s="6" t="s">
        <v>24</v>
      </c>
      <c r="I11" s="10">
        <f>SUM(J4:J7)</f>
        <v>-4</v>
      </c>
    </row>
    <row r="12" spans="1:10" ht="14.25" x14ac:dyDescent="0.2">
      <c r="A12" s="6" t="s">
        <v>16</v>
      </c>
      <c r="B12" s="7">
        <v>790.65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B12+'20180514_Open '!B13</f>
        <v>2831.41</v>
      </c>
      <c r="E13" s="5"/>
      <c r="G13" s="6"/>
      <c r="H13" s="6" t="s">
        <v>28</v>
      </c>
      <c r="I13" s="11"/>
    </row>
    <row r="14" spans="1:10" ht="14.25" x14ac:dyDescent="0.2">
      <c r="A14" s="6" t="s">
        <v>29</v>
      </c>
      <c r="B14" s="10">
        <v>2310100</v>
      </c>
      <c r="G14" s="6"/>
      <c r="H14" s="6" t="s">
        <v>30</v>
      </c>
      <c r="I14" s="11"/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/>
    </row>
    <row r="18" spans="1:14" ht="14.25" x14ac:dyDescent="0.2">
      <c r="G18" s="6" t="s">
        <v>10</v>
      </c>
      <c r="H18" s="5"/>
      <c r="I18" s="11">
        <v>2088909</v>
      </c>
    </row>
    <row r="19" spans="1:14" ht="14.25" x14ac:dyDescent="0.2">
      <c r="A19" s="5"/>
      <c r="G19" s="6" t="s">
        <v>35</v>
      </c>
      <c r="H19" s="5"/>
      <c r="I19" s="11">
        <f>I17+I18-I16</f>
        <v>-639907.64000000013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/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0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>
        <v>397.39</v>
      </c>
    </row>
    <row r="26" spans="1:14" ht="14.25" x14ac:dyDescent="0.2">
      <c r="A26" s="6" t="s">
        <v>44</v>
      </c>
      <c r="B26" s="5">
        <f>B4+E5+I18</f>
        <v>8947241.5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3167.41</v>
      </c>
    </row>
    <row r="28" spans="1:14" ht="14.25" x14ac:dyDescent="0.2">
      <c r="A28" s="6" t="s">
        <v>48</v>
      </c>
      <c r="B28" s="5">
        <f>B12+E8+I25</f>
        <v>1220.04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390118</v>
      </c>
      <c r="G34" s="6" t="s">
        <v>75</v>
      </c>
      <c r="H34" s="23">
        <v>20.87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33201</v>
      </c>
      <c r="G35" s="6" t="s">
        <v>56</v>
      </c>
      <c r="H35" s="23">
        <v>19.53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2454</v>
      </c>
      <c r="G36" s="6" t="s">
        <v>58</v>
      </c>
      <c r="H36" s="23">
        <v>19.61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-299</v>
      </c>
      <c r="G37" s="6" t="s">
        <v>76</v>
      </c>
      <c r="H37" s="23">
        <v>19.989999999999998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v>340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2660707</v>
      </c>
      <c r="G40" s="6" t="s">
        <v>75</v>
      </c>
      <c r="H40" s="22">
        <v>1E-3</v>
      </c>
    </row>
    <row r="41" spans="1:23" s="3" customFormat="1" ht="14.25" x14ac:dyDescent="0.2">
      <c r="A41" s="2"/>
      <c r="B41" s="2"/>
      <c r="D41" s="6" t="s">
        <v>65</v>
      </c>
      <c r="E41" s="5">
        <v>9779</v>
      </c>
      <c r="G41" s="6" t="s">
        <v>56</v>
      </c>
      <c r="H41" s="22">
        <v>1.2E-2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1110</v>
      </c>
      <c r="G42" s="6" t="s">
        <v>58</v>
      </c>
      <c r="H42" s="22">
        <v>3.5999999999999997E-2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8669</v>
      </c>
      <c r="G43" s="6" t="s">
        <v>76</v>
      </c>
      <c r="H43" s="22">
        <v>6.2E-2</v>
      </c>
    </row>
    <row r="44" spans="1:23" ht="14.25" x14ac:dyDescent="0.2">
      <c r="A44" s="5"/>
      <c r="D44" s="6" t="s">
        <v>71</v>
      </c>
      <c r="E44" s="5">
        <f>E40-E45</f>
        <v>30457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  <c r="G45" s="4" t="s">
        <v>77</v>
      </c>
    </row>
    <row r="46" spans="1:23" ht="14.25" x14ac:dyDescent="0.2">
      <c r="A46" s="14"/>
      <c r="B46" s="5"/>
      <c r="C46" s="5"/>
      <c r="E46" s="5"/>
      <c r="H46" s="25" t="s">
        <v>78</v>
      </c>
      <c r="I46" s="25" t="s">
        <v>79</v>
      </c>
      <c r="J46" s="25" t="s">
        <v>80</v>
      </c>
    </row>
    <row r="47" spans="1:23" ht="14.25" x14ac:dyDescent="0.2">
      <c r="A47" s="14"/>
      <c r="B47" s="5"/>
      <c r="C47" s="18"/>
      <c r="F47" s="18"/>
      <c r="G47" s="6" t="s">
        <v>75</v>
      </c>
      <c r="H47" s="13">
        <v>0</v>
      </c>
      <c r="I47" s="13">
        <v>0</v>
      </c>
      <c r="J47" s="13">
        <v>0</v>
      </c>
    </row>
    <row r="48" spans="1:23" ht="14.25" x14ac:dyDescent="0.2">
      <c r="A48" s="14"/>
      <c r="B48" s="5"/>
      <c r="F48" s="13"/>
      <c r="G48" s="6" t="s">
        <v>56</v>
      </c>
      <c r="H48" s="13">
        <v>-10</v>
      </c>
      <c r="I48" s="13">
        <v>-20</v>
      </c>
      <c r="J48" s="13">
        <v>-42</v>
      </c>
    </row>
    <row r="49" spans="1:10" ht="14.25" x14ac:dyDescent="0.2">
      <c r="A49" s="14"/>
      <c r="B49" s="5"/>
      <c r="F49" s="13"/>
      <c r="G49" s="6" t="s">
        <v>58</v>
      </c>
      <c r="H49" s="13">
        <v>-34</v>
      </c>
      <c r="I49" s="13">
        <v>-76</v>
      </c>
      <c r="J49" s="13">
        <v>-160</v>
      </c>
    </row>
    <row r="50" spans="1:10" ht="14.25" x14ac:dyDescent="0.2">
      <c r="A50" s="19"/>
      <c r="B50" s="13"/>
      <c r="C50" s="13"/>
      <c r="F50" s="13"/>
      <c r="G50" s="6" t="s">
        <v>76</v>
      </c>
      <c r="H50" s="13">
        <v>-32</v>
      </c>
      <c r="I50" s="13">
        <v>-92</v>
      </c>
      <c r="J50" s="13">
        <v>-238</v>
      </c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workbookViewId="0">
      <selection activeCell="I18" sqref="I18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5942719.8799999999</v>
      </c>
      <c r="D3" s="6" t="s">
        <v>2</v>
      </c>
      <c r="E3" s="7">
        <v>3182466.79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12521031.6</v>
      </c>
      <c r="D4" s="6" t="s">
        <v>7</v>
      </c>
      <c r="E4" s="7">
        <v>2450342.69</v>
      </c>
      <c r="H4" s="6" t="s">
        <v>11</v>
      </c>
      <c r="I4" s="9">
        <v>7</v>
      </c>
      <c r="J4" s="9">
        <v>-17</v>
      </c>
    </row>
    <row r="5" spans="1:10" ht="14.25" x14ac:dyDescent="0.2">
      <c r="A5" s="6" t="s">
        <v>9</v>
      </c>
      <c r="B5" s="5">
        <v>24464183.27</v>
      </c>
      <c r="D5" s="6" t="s">
        <v>10</v>
      </c>
      <c r="E5" s="5">
        <v>732124.1</v>
      </c>
      <c r="H5" s="6" t="s">
        <v>13</v>
      </c>
      <c r="I5" s="9"/>
      <c r="J5" s="9"/>
    </row>
    <row r="6" spans="1:10" ht="14.25" x14ac:dyDescent="0.2">
      <c r="A6" s="6" t="s">
        <v>7</v>
      </c>
      <c r="B6" s="5">
        <v>11943151.67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16</v>
      </c>
      <c r="G8" s="6"/>
      <c r="H8" s="6"/>
      <c r="I8" s="9"/>
    </row>
    <row r="9" spans="1:10" ht="14.25" x14ac:dyDescent="0.2">
      <c r="A9" s="6" t="s">
        <v>18</v>
      </c>
      <c r="B9" s="5">
        <v>431.79</v>
      </c>
      <c r="D9" s="6" t="s">
        <v>19</v>
      </c>
      <c r="E9" s="10">
        <v>20</v>
      </c>
      <c r="H9" s="6"/>
    </row>
    <row r="10" spans="1:10" ht="14.25" x14ac:dyDescent="0.2">
      <c r="A10" s="6" t="s">
        <v>20</v>
      </c>
      <c r="B10" s="5">
        <v>6000000</v>
      </c>
      <c r="D10" s="6" t="s">
        <v>21</v>
      </c>
      <c r="E10" s="5">
        <f>E8+'20180511_Open'!E10</f>
        <v>304</v>
      </c>
      <c r="G10" s="6"/>
      <c r="H10" s="6" t="s">
        <v>22</v>
      </c>
      <c r="I10" s="10">
        <f>SUM(I4:I7)</f>
        <v>7</v>
      </c>
    </row>
    <row r="11" spans="1:10" ht="14.25" x14ac:dyDescent="0.2">
      <c r="A11" s="6" t="s">
        <v>23</v>
      </c>
      <c r="B11" s="5">
        <f>B9+'20180511_Open'!B11</f>
        <v>5634.62</v>
      </c>
      <c r="D11" s="6"/>
      <c r="E11" s="5"/>
      <c r="G11" s="6"/>
      <c r="H11" s="6" t="s">
        <v>24</v>
      </c>
      <c r="I11" s="10">
        <f>SUM(J4:J7)</f>
        <v>-17</v>
      </c>
    </row>
    <row r="12" spans="1:10" ht="14.25" x14ac:dyDescent="0.2">
      <c r="A12" s="6" t="s">
        <v>16</v>
      </c>
      <c r="B12" s="7">
        <v>698.29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B12+'20180511_Open'!B13</f>
        <v>2040.76</v>
      </c>
      <c r="E13" s="5"/>
      <c r="G13" s="6"/>
      <c r="H13" s="6" t="s">
        <v>28</v>
      </c>
      <c r="I13" s="11">
        <v>5730060</v>
      </c>
    </row>
    <row r="14" spans="1:10" ht="14.25" x14ac:dyDescent="0.2">
      <c r="A14" s="6" t="s">
        <v>29</v>
      </c>
      <c r="B14" s="10">
        <v>4309900</v>
      </c>
      <c r="G14" s="6"/>
      <c r="H14" s="6" t="s">
        <v>30</v>
      </c>
      <c r="I14" s="11">
        <v>-13915860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-8185800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665979.82999999996</v>
      </c>
    </row>
    <row r="18" spans="1:14" ht="14.25" x14ac:dyDescent="0.2">
      <c r="G18" s="6" t="s">
        <v>10</v>
      </c>
      <c r="H18" s="5"/>
      <c r="I18" s="11">
        <v>2088909</v>
      </c>
    </row>
    <row r="19" spans="1:14" ht="14.25" x14ac:dyDescent="0.2">
      <c r="A19" s="5"/>
      <c r="G19" s="6" t="s">
        <v>35</v>
      </c>
      <c r="H19" s="5"/>
      <c r="I19" s="11">
        <f>I17+I18-I16</f>
        <v>26072.189999999944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1056.81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1056.81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>
        <v>397.39</v>
      </c>
    </row>
    <row r="26" spans="1:14" ht="14.25" x14ac:dyDescent="0.2">
      <c r="A26" s="6" t="s">
        <v>44</v>
      </c>
      <c r="B26" s="5">
        <f>B4+E5+I18</f>
        <v>15342064.699999999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3401.57</v>
      </c>
    </row>
    <row r="28" spans="1:14" ht="14.25" x14ac:dyDescent="0.2">
      <c r="A28" s="6" t="s">
        <v>48</v>
      </c>
      <c r="B28" s="5">
        <f>B12+E8+I25</f>
        <v>1111.6799999999998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/>
      <c r="D34" s="6" t="s">
        <v>53</v>
      </c>
      <c r="E34" s="5">
        <v>674288</v>
      </c>
      <c r="G34" s="6" t="s">
        <v>52</v>
      </c>
      <c r="H34" s="23">
        <v>22.83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/>
      <c r="D35" s="6" t="s">
        <v>55</v>
      </c>
      <c r="E35" s="15">
        <v>26845</v>
      </c>
      <c r="G35" s="6" t="s">
        <v>54</v>
      </c>
      <c r="H35" s="23">
        <v>21.17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/>
      <c r="D36" s="6" t="s">
        <v>57</v>
      </c>
      <c r="E36" s="15">
        <v>2023</v>
      </c>
      <c r="G36" s="6" t="s">
        <v>56</v>
      </c>
      <c r="H36" s="23">
        <v>21.46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/>
      <c r="D37" s="6" t="s">
        <v>59</v>
      </c>
      <c r="E37" s="5">
        <v>-81</v>
      </c>
      <c r="G37" s="6" t="s">
        <v>58</v>
      </c>
      <c r="H37" s="23">
        <v>21.74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0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2649297</v>
      </c>
      <c r="G40" s="6" t="s">
        <v>52</v>
      </c>
      <c r="H40" s="22">
        <v>2E-3</v>
      </c>
    </row>
    <row r="41" spans="1:23" s="3" customFormat="1" ht="14.25" x14ac:dyDescent="0.2">
      <c r="A41" s="2"/>
      <c r="B41" s="2"/>
      <c r="D41" s="6" t="s">
        <v>65</v>
      </c>
      <c r="E41" s="5">
        <v>1396</v>
      </c>
      <c r="G41" s="6" t="s">
        <v>54</v>
      </c>
      <c r="H41" s="22">
        <v>1.2E-2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6297</v>
      </c>
      <c r="G42" s="6" t="s">
        <v>56</v>
      </c>
      <c r="H42" s="22">
        <v>3.6999999999999998E-2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-4902</v>
      </c>
      <c r="G43" s="6" t="s">
        <v>58</v>
      </c>
      <c r="H43" s="22">
        <v>6.0999999999999999E-2</v>
      </c>
    </row>
    <row r="44" spans="1:23" ht="14.25" x14ac:dyDescent="0.2">
      <c r="A44" s="5"/>
      <c r="D44" s="6" t="s">
        <v>71</v>
      </c>
      <c r="E44" s="5">
        <f>E40-E45</f>
        <v>19047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</row>
    <row r="46" spans="1:23" ht="14.25" x14ac:dyDescent="0.2">
      <c r="A46" s="14"/>
      <c r="B46" s="5"/>
      <c r="C46" s="5"/>
      <c r="E46" s="5"/>
    </row>
    <row r="47" spans="1:23" ht="14.25" x14ac:dyDescent="0.2">
      <c r="A47" s="14"/>
      <c r="B47" s="5"/>
      <c r="C47" s="18"/>
      <c r="F47" s="18"/>
      <c r="G47" s="16"/>
      <c r="H47" s="16"/>
      <c r="I47" s="16"/>
    </row>
    <row r="48" spans="1:23" ht="14.25" x14ac:dyDescent="0.2">
      <c r="A48" s="14"/>
      <c r="B48" s="5"/>
      <c r="F48" s="13"/>
      <c r="G48" s="19"/>
      <c r="H48" s="20"/>
      <c r="I48" s="21"/>
    </row>
    <row r="49" spans="1:9" ht="14.25" x14ac:dyDescent="0.2">
      <c r="A49" s="14"/>
      <c r="B49" s="5"/>
      <c r="F49" s="13"/>
      <c r="G49" s="19"/>
      <c r="H49" s="20"/>
      <c r="I49" s="21"/>
    </row>
    <row r="50" spans="1:9" x14ac:dyDescent="0.15">
      <c r="A50" s="19"/>
      <c r="B50" s="13"/>
      <c r="C50" s="13"/>
      <c r="F50" s="13"/>
      <c r="G50" s="19"/>
      <c r="H50" s="20"/>
      <c r="I50" s="21"/>
    </row>
  </sheetData>
  <phoneticPr fontId="19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W50"/>
  <sheetViews>
    <sheetView topLeftCell="A22" workbookViewId="0">
      <selection activeCell="C28" sqref="C28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2475619.2400000002</v>
      </c>
      <c r="D3" s="6" t="s">
        <v>2</v>
      </c>
      <c r="E3" s="7">
        <v>3188572.79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11735857.699999999</v>
      </c>
      <c r="D4" s="6" t="s">
        <v>7</v>
      </c>
      <c r="E4" s="7">
        <v>2462124.9900000002</v>
      </c>
      <c r="H4" s="6" t="s">
        <v>11</v>
      </c>
      <c r="I4" s="9">
        <v>1</v>
      </c>
      <c r="J4" s="9">
        <v>-12</v>
      </c>
    </row>
    <row r="5" spans="1:10" ht="14.25" x14ac:dyDescent="0.2">
      <c r="A5" s="6" t="s">
        <v>9</v>
      </c>
      <c r="B5" s="5">
        <v>24513720.870000001</v>
      </c>
      <c r="D5" s="6" t="s">
        <v>10</v>
      </c>
      <c r="E5" s="5">
        <v>726447.8</v>
      </c>
      <c r="H5" s="6" t="s">
        <v>13</v>
      </c>
      <c r="I5" s="9"/>
      <c r="J5" s="9"/>
    </row>
    <row r="6" spans="1:10" ht="14.25" x14ac:dyDescent="0.2">
      <c r="A6" s="6" t="s">
        <v>7</v>
      </c>
      <c r="B6" s="5">
        <v>12777863.17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32</v>
      </c>
      <c r="G8" s="6"/>
      <c r="H8" s="6"/>
      <c r="I8" s="9"/>
    </row>
    <row r="9" spans="1:10" ht="14.25" x14ac:dyDescent="0.2">
      <c r="A9" s="6" t="s">
        <v>18</v>
      </c>
      <c r="B9" s="5">
        <v>2243.9299999999998</v>
      </c>
      <c r="D9" s="6" t="s">
        <v>19</v>
      </c>
      <c r="E9" s="10">
        <v>60</v>
      </c>
      <c r="H9" s="6"/>
    </row>
    <row r="10" spans="1:10" ht="14.25" x14ac:dyDescent="0.2">
      <c r="A10" s="6" t="s">
        <v>20</v>
      </c>
      <c r="B10" s="5">
        <v>10300000</v>
      </c>
      <c r="D10" s="6" t="s">
        <v>21</v>
      </c>
      <c r="E10" s="5">
        <f>E8+'20180510_Open'!E10</f>
        <v>288</v>
      </c>
      <c r="G10" s="6"/>
      <c r="H10" s="6" t="s">
        <v>22</v>
      </c>
      <c r="I10" s="10">
        <f>SUM(I4:I7)</f>
        <v>1</v>
      </c>
    </row>
    <row r="11" spans="1:10" ht="14.25" x14ac:dyDescent="0.2">
      <c r="A11" s="6" t="s">
        <v>23</v>
      </c>
      <c r="B11" s="5">
        <f>B9+'20180510_Open'!B11</f>
        <v>5202.83</v>
      </c>
      <c r="D11" s="6"/>
      <c r="E11" s="5"/>
      <c r="G11" s="6"/>
      <c r="H11" s="6" t="s">
        <v>24</v>
      </c>
      <c r="I11" s="10">
        <f>SUM(J4:J7)</f>
        <v>-12</v>
      </c>
    </row>
    <row r="12" spans="1:10" ht="14.25" x14ac:dyDescent="0.2">
      <c r="A12" s="6" t="s">
        <v>16</v>
      </c>
      <c r="B12" s="7">
        <v>519.99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B12+'20180510_Open'!B13</f>
        <v>1342.47</v>
      </c>
      <c r="E13" s="5"/>
      <c r="G13" s="6"/>
      <c r="H13" s="6" t="s">
        <v>28</v>
      </c>
      <c r="I13" s="11">
        <v>820260</v>
      </c>
    </row>
    <row r="14" spans="1:10" ht="14.25" x14ac:dyDescent="0.2">
      <c r="A14" s="6" t="s">
        <v>29</v>
      </c>
      <c r="B14" s="10">
        <v>4309900</v>
      </c>
      <c r="G14" s="6"/>
      <c r="H14" s="6" t="s">
        <v>30</v>
      </c>
      <c r="I14" s="11">
        <v>-9843120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-9022860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24">
        <v>1261441.22</v>
      </c>
    </row>
    <row r="18" spans="1:14" ht="14.25" x14ac:dyDescent="0.2">
      <c r="G18" s="6" t="s">
        <v>10</v>
      </c>
      <c r="H18" s="5"/>
      <c r="I18" s="11">
        <v>1473120</v>
      </c>
    </row>
    <row r="19" spans="1:14" ht="14.25" x14ac:dyDescent="0.2">
      <c r="A19" s="5"/>
      <c r="G19" s="6" t="s">
        <v>35</v>
      </c>
      <c r="H19" s="5"/>
      <c r="I19" s="11">
        <f>I17+I18-I16</f>
        <v>5744.5799999996088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659.42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SUM(I21:I23)</f>
        <v>659.42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>
        <v>283.52</v>
      </c>
    </row>
    <row r="26" spans="1:14" ht="14.25" x14ac:dyDescent="0.2">
      <c r="A26" s="6" t="s">
        <v>44</v>
      </c>
      <c r="B26" s="5">
        <f>B4+E5+I18</f>
        <v>13935425.5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2289.89</v>
      </c>
    </row>
    <row r="28" spans="1:14" ht="14.25" x14ac:dyDescent="0.2">
      <c r="A28" s="6" t="s">
        <v>48</v>
      </c>
      <c r="B28" s="5">
        <f>B12+E8+I25</f>
        <v>835.51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75</v>
      </c>
      <c r="B34" s="13">
        <v>390</v>
      </c>
      <c r="D34" s="6" t="s">
        <v>53</v>
      </c>
      <c r="E34" s="5">
        <v>-872440</v>
      </c>
      <c r="G34" s="6" t="s">
        <v>52</v>
      </c>
      <c r="H34" s="23">
        <v>22.51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56</v>
      </c>
      <c r="B35" s="13">
        <v>50</v>
      </c>
      <c r="D35" s="6" t="s">
        <v>55</v>
      </c>
      <c r="E35" s="15">
        <v>-4848</v>
      </c>
      <c r="G35" s="6" t="s">
        <v>54</v>
      </c>
      <c r="H35" s="23">
        <v>22.06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58</v>
      </c>
      <c r="B36" s="13">
        <v>10</v>
      </c>
      <c r="D36" s="6" t="s">
        <v>57</v>
      </c>
      <c r="E36" s="15">
        <v>1482</v>
      </c>
      <c r="G36" s="6" t="s">
        <v>56</v>
      </c>
      <c r="H36" s="23">
        <v>21.95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76</v>
      </c>
      <c r="B37" s="13">
        <v>10</v>
      </c>
      <c r="D37" s="6" t="s">
        <v>59</v>
      </c>
      <c r="E37" s="5">
        <v>124</v>
      </c>
      <c r="G37" s="6" t="s">
        <v>58</v>
      </c>
      <c r="H37" s="23">
        <v>22.4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460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2649034</v>
      </c>
      <c r="G40" s="6" t="s">
        <v>52</v>
      </c>
      <c r="H40" s="22">
        <v>1E-3</v>
      </c>
    </row>
    <row r="41" spans="1:23" s="3" customFormat="1" ht="14.25" x14ac:dyDescent="0.2">
      <c r="A41" s="2"/>
      <c r="B41" s="2"/>
      <c r="D41" s="6" t="s">
        <v>65</v>
      </c>
      <c r="E41" s="5">
        <v>-1453</v>
      </c>
      <c r="G41" s="6" t="s">
        <v>54</v>
      </c>
      <c r="H41" s="22">
        <v>1.2999999999999999E-2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2813</v>
      </c>
      <c r="G42" s="6" t="s">
        <v>56</v>
      </c>
      <c r="H42" s="22">
        <v>3.5999999999999997E-2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-4266</v>
      </c>
      <c r="G43" s="6" t="s">
        <v>58</v>
      </c>
      <c r="H43" s="22">
        <v>0.06</v>
      </c>
    </row>
    <row r="44" spans="1:23" ht="14.25" x14ac:dyDescent="0.2">
      <c r="A44" s="5"/>
      <c r="D44" s="6" t="s">
        <v>71</v>
      </c>
      <c r="E44" s="5">
        <f>E40-E45</f>
        <v>18784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</row>
    <row r="46" spans="1:23" ht="14.25" x14ac:dyDescent="0.2">
      <c r="A46" s="14"/>
      <c r="B46" s="5"/>
      <c r="C46" s="5"/>
      <c r="E46" s="5"/>
    </row>
    <row r="47" spans="1:23" ht="14.25" x14ac:dyDescent="0.2">
      <c r="A47" s="14"/>
      <c r="B47" s="5"/>
      <c r="C47" s="18"/>
      <c r="F47" s="18"/>
      <c r="G47" s="16"/>
      <c r="H47" s="16"/>
      <c r="I47" s="16"/>
    </row>
    <row r="48" spans="1:23" ht="14.25" x14ac:dyDescent="0.2">
      <c r="A48" s="14"/>
      <c r="B48" s="5"/>
      <c r="F48" s="13"/>
      <c r="G48" s="19"/>
      <c r="H48" s="20"/>
      <c r="I48" s="21"/>
    </row>
    <row r="49" spans="1:9" ht="14.25" x14ac:dyDescent="0.2">
      <c r="A49" s="14"/>
      <c r="B49" s="5"/>
      <c r="F49" s="13"/>
      <c r="G49" s="19"/>
      <c r="H49" s="20"/>
      <c r="I49" s="21"/>
    </row>
    <row r="50" spans="1:9" x14ac:dyDescent="0.15">
      <c r="A50" s="19"/>
      <c r="B50" s="13"/>
      <c r="C50" s="13"/>
      <c r="F50" s="13"/>
      <c r="G50" s="19"/>
      <c r="H50" s="20"/>
      <c r="I50" s="21"/>
    </row>
  </sheetData>
  <phoneticPr fontId="19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W50"/>
  <sheetViews>
    <sheetView topLeftCell="B16" workbookViewId="0">
      <selection activeCell="B32" sqref="B32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9355848.4000000004</v>
      </c>
      <c r="D3" s="6" t="s">
        <v>2</v>
      </c>
      <c r="E3" s="7">
        <v>3128965.55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6126588.9000000004</v>
      </c>
      <c r="D4" s="6" t="s">
        <v>7</v>
      </c>
      <c r="E4" s="7">
        <v>2611857.5499999998</v>
      </c>
      <c r="H4" s="6" t="s">
        <v>11</v>
      </c>
      <c r="I4" s="9">
        <v>3</v>
      </c>
      <c r="J4" s="9">
        <v>-7</v>
      </c>
    </row>
    <row r="5" spans="1:10" ht="14.25" x14ac:dyDescent="0.2">
      <c r="A5" s="6" t="s">
        <v>9</v>
      </c>
      <c r="B5" s="5">
        <v>24483078.129999999</v>
      </c>
      <c r="D5" s="6" t="s">
        <v>10</v>
      </c>
      <c r="E5" s="5">
        <v>517108</v>
      </c>
      <c r="H5" s="6" t="s">
        <v>13</v>
      </c>
      <c r="I5" s="9"/>
      <c r="J5" s="9"/>
    </row>
    <row r="6" spans="1:10" ht="14.25" x14ac:dyDescent="0.2">
      <c r="A6" s="6" t="s">
        <v>7</v>
      </c>
      <c r="B6" s="5">
        <v>18356489.23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64</v>
      </c>
      <c r="G8" s="6"/>
      <c r="H8" s="6"/>
      <c r="I8" s="9"/>
    </row>
    <row r="9" spans="1:10" ht="14.25" x14ac:dyDescent="0.2">
      <c r="A9" s="6" t="s">
        <v>18</v>
      </c>
      <c r="B9" s="5">
        <v>640.83000000000004</v>
      </c>
      <c r="D9" s="6" t="s">
        <v>19</v>
      </c>
      <c r="E9" s="10">
        <v>50</v>
      </c>
      <c r="H9" s="6"/>
    </row>
    <row r="10" spans="1:10" ht="14.25" x14ac:dyDescent="0.2">
      <c r="A10" s="6" t="s">
        <v>20</v>
      </c>
      <c r="B10" s="5">
        <v>9000000</v>
      </c>
      <c r="D10" s="6" t="s">
        <v>21</v>
      </c>
      <c r="E10" s="5">
        <f>E8+'20180509_Open'!E10</f>
        <v>256</v>
      </c>
      <c r="G10" s="6"/>
      <c r="H10" s="6" t="s">
        <v>22</v>
      </c>
      <c r="I10" s="10">
        <f>SUM(I4:I7)</f>
        <v>3</v>
      </c>
    </row>
    <row r="11" spans="1:10" ht="14.25" x14ac:dyDescent="0.2">
      <c r="A11" s="6" t="s">
        <v>23</v>
      </c>
      <c r="B11" s="5">
        <f>B9+'20180509_Open'!B11</f>
        <v>2958.8999999999996</v>
      </c>
      <c r="D11" s="6"/>
      <c r="E11" s="5"/>
      <c r="G11" s="6"/>
      <c r="H11" s="6" t="s">
        <v>24</v>
      </c>
      <c r="I11" s="10">
        <f>SUM(J4:J7)</f>
        <v>-7</v>
      </c>
    </row>
    <row r="12" spans="1:10" ht="14.25" x14ac:dyDescent="0.2">
      <c r="A12" s="6" t="s">
        <v>16</v>
      </c>
      <c r="B12" s="7">
        <v>487.46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B12+'20180509_Open'!B13</f>
        <v>822.48</v>
      </c>
      <c r="E13" s="5"/>
      <c r="G13" s="6"/>
      <c r="H13" s="6" t="s">
        <v>28</v>
      </c>
      <c r="I13" s="11">
        <v>2446740</v>
      </c>
    </row>
    <row r="14" spans="1:10" ht="14.25" x14ac:dyDescent="0.2">
      <c r="A14" s="6" t="s">
        <v>29</v>
      </c>
      <c r="B14" s="10">
        <v>2259900</v>
      </c>
      <c r="G14" s="6"/>
      <c r="H14" s="6" t="s">
        <v>30</v>
      </c>
      <c r="I14" s="11">
        <v>-5709060</v>
      </c>
    </row>
    <row r="15" spans="1:10" ht="14.25" x14ac:dyDescent="0.2">
      <c r="A15" s="6" t="s">
        <v>31</v>
      </c>
      <c r="B15" s="5"/>
      <c r="G15" s="6"/>
      <c r="H15" s="6" t="s">
        <v>32</v>
      </c>
      <c r="I15" s="11">
        <f>I13+I14</f>
        <v>-3262320</v>
      </c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11">
        <v>1882559.74</v>
      </c>
    </row>
    <row r="18" spans="1:14" ht="14.25" x14ac:dyDescent="0.2">
      <c r="G18" s="6" t="s">
        <v>10</v>
      </c>
      <c r="H18" s="5"/>
      <c r="I18" s="11">
        <v>854784</v>
      </c>
    </row>
    <row r="19" spans="1:14" ht="14.25" x14ac:dyDescent="0.2">
      <c r="A19" s="5"/>
      <c r="G19" s="6" t="s">
        <v>35</v>
      </c>
      <c r="H19" s="5"/>
      <c r="I19" s="11">
        <f>I17+I18-I16</f>
        <v>8527.1000000000931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244.44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I21+'20180509_Open'!I21</f>
        <v>375.9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/>
    </row>
    <row r="26" spans="1:14" ht="14.25" x14ac:dyDescent="0.2">
      <c r="A26" s="6" t="s">
        <v>44</v>
      </c>
      <c r="B26" s="5">
        <f>B4+E5+I18</f>
        <v>7498480.9000000004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1454.38</v>
      </c>
    </row>
    <row r="28" spans="1:14" ht="14.25" x14ac:dyDescent="0.2">
      <c r="A28" s="6" t="s">
        <v>48</v>
      </c>
      <c r="B28" s="5">
        <f>B12+E8+I25</f>
        <v>551.46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52</v>
      </c>
      <c r="B34" s="13">
        <v>240</v>
      </c>
      <c r="D34" s="6" t="s">
        <v>53</v>
      </c>
      <c r="E34" s="5">
        <v>194361</v>
      </c>
      <c r="G34" s="6" t="s">
        <v>52</v>
      </c>
      <c r="H34" s="23">
        <v>23.92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54</v>
      </c>
      <c r="B35" s="13">
        <v>10</v>
      </c>
      <c r="D35" s="6" t="s">
        <v>55</v>
      </c>
      <c r="E35" s="15">
        <v>22928</v>
      </c>
      <c r="G35" s="6" t="s">
        <v>54</v>
      </c>
      <c r="H35" s="23">
        <v>23.46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56</v>
      </c>
      <c r="B36" s="13"/>
      <c r="D36" s="6" t="s">
        <v>57</v>
      </c>
      <c r="E36" s="15">
        <v>1695</v>
      </c>
      <c r="G36" s="6" t="s">
        <v>56</v>
      </c>
      <c r="H36" s="23">
        <v>23.35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58</v>
      </c>
      <c r="B37" s="13">
        <v>10</v>
      </c>
      <c r="D37" s="6" t="s">
        <v>59</v>
      </c>
      <c r="E37" s="5">
        <v>-270</v>
      </c>
      <c r="G37" s="6" t="s">
        <v>58</v>
      </c>
      <c r="H37" s="23">
        <v>23.8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260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2650487</v>
      </c>
      <c r="G40" s="6" t="s">
        <v>52</v>
      </c>
      <c r="H40" s="22">
        <v>2E-3</v>
      </c>
    </row>
    <row r="41" spans="1:23" s="3" customFormat="1" ht="14.25" x14ac:dyDescent="0.2">
      <c r="A41" s="2"/>
      <c r="B41" s="2"/>
      <c r="D41" s="6" t="s">
        <v>65</v>
      </c>
      <c r="E41" s="5">
        <v>11585</v>
      </c>
      <c r="G41" s="6" t="s">
        <v>54</v>
      </c>
      <c r="H41" s="22">
        <v>1.0999999999999999E-2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8780</v>
      </c>
      <c r="G42" s="6" t="s">
        <v>56</v>
      </c>
      <c r="H42" s="22">
        <v>3.3000000000000002E-2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2805</v>
      </c>
      <c r="G43" s="6" t="s">
        <v>58</v>
      </c>
      <c r="H43" s="22">
        <v>5.8000000000000003E-2</v>
      </c>
    </row>
    <row r="44" spans="1:23" ht="14.25" x14ac:dyDescent="0.2">
      <c r="A44" s="5"/>
      <c r="D44" s="6" t="s">
        <v>71</v>
      </c>
      <c r="E44" s="5">
        <f>E40-E45</f>
        <v>20237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</row>
    <row r="46" spans="1:23" ht="14.25" x14ac:dyDescent="0.2">
      <c r="A46" s="14"/>
      <c r="B46" s="5"/>
      <c r="C46" s="5"/>
      <c r="E46" s="5"/>
    </row>
    <row r="47" spans="1:23" ht="14.25" x14ac:dyDescent="0.2">
      <c r="A47" s="14"/>
      <c r="B47" s="5"/>
      <c r="C47" s="18"/>
      <c r="F47" s="18"/>
      <c r="G47" s="16"/>
      <c r="H47" s="16"/>
      <c r="I47" s="16"/>
    </row>
    <row r="48" spans="1:23" ht="14.25" x14ac:dyDescent="0.2">
      <c r="A48" s="14"/>
      <c r="B48" s="5"/>
      <c r="F48" s="13"/>
      <c r="G48" s="19"/>
      <c r="H48" s="20"/>
      <c r="I48" s="21"/>
    </row>
    <row r="49" spans="1:9" ht="14.25" x14ac:dyDescent="0.2">
      <c r="A49" s="14"/>
      <c r="B49" s="5"/>
      <c r="F49" s="13"/>
      <c r="G49" s="19"/>
      <c r="H49" s="20"/>
      <c r="I49" s="21"/>
    </row>
    <row r="50" spans="1:9" x14ac:dyDescent="0.15">
      <c r="A50" s="19"/>
      <c r="B50" s="13"/>
      <c r="C50" s="13"/>
      <c r="F50" s="13"/>
      <c r="G50" s="19"/>
      <c r="H50" s="20"/>
      <c r="I50" s="21"/>
    </row>
  </sheetData>
  <phoneticPr fontId="19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50"/>
  <sheetViews>
    <sheetView topLeftCell="A28" workbookViewId="0">
      <selection activeCell="E44" sqref="E44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7711124.1900000004</v>
      </c>
      <c r="D3" s="6" t="s">
        <v>2</v>
      </c>
      <c r="E3" s="7">
        <v>3162980.55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4778539.8</v>
      </c>
      <c r="D4" s="6" t="s">
        <v>7</v>
      </c>
      <c r="E4" s="7">
        <v>2620568.5499999998</v>
      </c>
      <c r="H4" s="6" t="s">
        <v>11</v>
      </c>
      <c r="I4" s="9">
        <v>2</v>
      </c>
      <c r="J4" s="9">
        <v>-5</v>
      </c>
    </row>
    <row r="5" spans="1:10" ht="14.25" x14ac:dyDescent="0.2">
      <c r="A5" s="6" t="s">
        <v>9</v>
      </c>
      <c r="B5" s="5">
        <v>24490512.48</v>
      </c>
      <c r="D5" s="6" t="s">
        <v>10</v>
      </c>
      <c r="E5" s="5">
        <v>542412</v>
      </c>
      <c r="H5" s="6" t="s">
        <v>13</v>
      </c>
      <c r="I5" s="9"/>
      <c r="J5" s="9"/>
    </row>
    <row r="6" spans="1:10" ht="14.25" x14ac:dyDescent="0.2">
      <c r="A6" s="6" t="s">
        <v>7</v>
      </c>
      <c r="B6" s="5">
        <v>19711972.68</v>
      </c>
      <c r="D6" s="6" t="s">
        <v>12</v>
      </c>
      <c r="E6" s="5"/>
      <c r="H6" s="6" t="s">
        <v>15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74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64</v>
      </c>
      <c r="G8" s="6"/>
      <c r="H8" s="6"/>
      <c r="I8" s="9"/>
    </row>
    <row r="9" spans="1:10" ht="14.25" x14ac:dyDescent="0.2">
      <c r="A9" s="6" t="s">
        <v>18</v>
      </c>
      <c r="B9" s="5">
        <v>848.49</v>
      </c>
      <c r="D9" s="6" t="s">
        <v>19</v>
      </c>
      <c r="E9" s="10">
        <v>100</v>
      </c>
      <c r="H9" s="6"/>
    </row>
    <row r="10" spans="1:10" ht="14.25" x14ac:dyDescent="0.2">
      <c r="A10" s="6" t="s">
        <v>20</v>
      </c>
      <c r="B10" s="5">
        <v>12000000</v>
      </c>
      <c r="D10" s="6" t="s">
        <v>21</v>
      </c>
      <c r="E10" s="5">
        <f>E8+'20180508_Open'!E10</f>
        <v>192</v>
      </c>
      <c r="G10" s="6"/>
      <c r="H10" s="6" t="s">
        <v>22</v>
      </c>
      <c r="I10" s="10">
        <f>SUM(I4:I7)</f>
        <v>2</v>
      </c>
    </row>
    <row r="11" spans="1:10" ht="14.25" x14ac:dyDescent="0.2">
      <c r="A11" s="6" t="s">
        <v>23</v>
      </c>
      <c r="B11" s="5">
        <f>B9+'20180508_Open'!B11</f>
        <v>2318.0699999999997</v>
      </c>
      <c r="D11" s="6"/>
      <c r="E11" s="5"/>
      <c r="G11" s="6"/>
      <c r="H11" s="6" t="s">
        <v>24</v>
      </c>
      <c r="I11" s="10">
        <f>SUM(J4:J7)</f>
        <v>-5</v>
      </c>
    </row>
    <row r="12" spans="1:10" ht="14.25" x14ac:dyDescent="0.2">
      <c r="A12" s="6" t="s">
        <v>16</v>
      </c>
      <c r="B12" s="7">
        <v>274.52</v>
      </c>
      <c r="E12" s="5"/>
      <c r="G12" s="6" t="s">
        <v>26</v>
      </c>
      <c r="I12" s="5"/>
    </row>
    <row r="13" spans="1:10" ht="14.25" x14ac:dyDescent="0.2">
      <c r="A13" s="6" t="s">
        <v>21</v>
      </c>
      <c r="B13" s="5">
        <f>B12+'20180508_Open'!B13</f>
        <v>335.02</v>
      </c>
      <c r="E13" s="5"/>
      <c r="G13" s="6"/>
      <c r="H13" s="6" t="s">
        <v>28</v>
      </c>
      <c r="I13" s="11"/>
    </row>
    <row r="14" spans="1:10" ht="14.25" x14ac:dyDescent="0.2">
      <c r="A14" s="6" t="s">
        <v>29</v>
      </c>
      <c r="B14" s="10">
        <v>1760700</v>
      </c>
      <c r="G14" s="6"/>
      <c r="H14" s="6" t="s">
        <v>30</v>
      </c>
      <c r="I14" s="11"/>
    </row>
    <row r="15" spans="1:10" ht="14.25" x14ac:dyDescent="0.2">
      <c r="A15" s="6" t="s">
        <v>31</v>
      </c>
      <c r="B15" s="5"/>
      <c r="G15" s="6"/>
      <c r="H15" s="6" t="s">
        <v>32</v>
      </c>
      <c r="I15" s="11"/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11">
        <v>2103171.1800000002</v>
      </c>
    </row>
    <row r="18" spans="1:14" ht="14.25" x14ac:dyDescent="0.2">
      <c r="G18" s="6" t="s">
        <v>10</v>
      </c>
      <c r="H18" s="5"/>
      <c r="I18" s="11">
        <v>612900</v>
      </c>
    </row>
    <row r="19" spans="1:14" ht="14.25" x14ac:dyDescent="0.2">
      <c r="A19" s="5"/>
      <c r="G19" s="6" t="s">
        <v>35</v>
      </c>
      <c r="H19" s="5"/>
      <c r="I19" s="11">
        <f>I17+I18-I16</f>
        <v>-12745.459999999963</v>
      </c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38</v>
      </c>
      <c r="I21" s="11">
        <v>131.46</v>
      </c>
      <c r="N21" s="5"/>
    </row>
    <row r="22" spans="1:14" ht="14.25" x14ac:dyDescent="0.2">
      <c r="G22" s="6"/>
      <c r="H22" s="6" t="s">
        <v>39</v>
      </c>
      <c r="I22" s="11"/>
    </row>
    <row r="23" spans="1:14" ht="14.25" x14ac:dyDescent="0.2">
      <c r="G23" s="6"/>
      <c r="H23" s="6" t="s">
        <v>41</v>
      </c>
      <c r="I23" s="11"/>
      <c r="N23" s="5"/>
    </row>
    <row r="24" spans="1:14" ht="14.25" x14ac:dyDescent="0.2">
      <c r="A24" s="4" t="s">
        <v>40</v>
      </c>
      <c r="H24" s="6" t="s">
        <v>43</v>
      </c>
      <c r="I24" s="11">
        <f>I21</f>
        <v>131.46</v>
      </c>
    </row>
    <row r="25" spans="1:14" ht="14.25" x14ac:dyDescent="0.2">
      <c r="A25" s="6" t="s">
        <v>42</v>
      </c>
      <c r="B25" s="5">
        <f>B8+E7+I16+B45</f>
        <v>31310386.16</v>
      </c>
      <c r="H25" s="6" t="s">
        <v>45</v>
      </c>
      <c r="I25" s="5"/>
    </row>
    <row r="26" spans="1:14" ht="14.25" x14ac:dyDescent="0.2">
      <c r="A26" s="6" t="s">
        <v>44</v>
      </c>
      <c r="B26" s="5">
        <f>B4+E5+I18</f>
        <v>5933851.7999999998</v>
      </c>
      <c r="G26" s="6"/>
      <c r="H26" s="6" t="s">
        <v>47</v>
      </c>
      <c r="I26" s="5"/>
    </row>
    <row r="27" spans="1:14" ht="14.25" x14ac:dyDescent="0.2">
      <c r="A27" s="6" t="s">
        <v>46</v>
      </c>
      <c r="B27" s="5">
        <f>$B$13+$E$10+$I$24</f>
        <v>658.48</v>
      </c>
    </row>
    <row r="28" spans="1:14" ht="14.25" x14ac:dyDescent="0.2">
      <c r="A28" s="6" t="s">
        <v>48</v>
      </c>
      <c r="B28" s="5">
        <f>B12+E8+I25</f>
        <v>338.52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4" t="s">
        <v>72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52</v>
      </c>
      <c r="B34" s="13">
        <v>230</v>
      </c>
      <c r="D34" s="6" t="s">
        <v>53</v>
      </c>
      <c r="E34" s="5">
        <v>-541944</v>
      </c>
      <c r="G34" s="6" t="s">
        <v>52</v>
      </c>
      <c r="H34" s="23">
        <v>23.92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54</v>
      </c>
      <c r="B35" s="13"/>
      <c r="D35" s="6" t="s">
        <v>55</v>
      </c>
      <c r="E35" s="15">
        <v>-41628</v>
      </c>
      <c r="G35" s="6" t="s">
        <v>54</v>
      </c>
      <c r="H35" s="23">
        <v>23.76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56</v>
      </c>
      <c r="B36" s="13"/>
      <c r="D36" s="6" t="s">
        <v>57</v>
      </c>
      <c r="E36" s="15">
        <v>1031</v>
      </c>
      <c r="G36" s="6" t="s">
        <v>56</v>
      </c>
      <c r="H36" s="23">
        <v>23.65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58</v>
      </c>
      <c r="B37" s="13"/>
      <c r="D37" s="6" t="s">
        <v>59</v>
      </c>
      <c r="E37" s="5">
        <v>503</v>
      </c>
      <c r="G37" s="6" t="s">
        <v>58</v>
      </c>
      <c r="H37" s="23">
        <v>23.8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43</v>
      </c>
      <c r="B38" s="13">
        <f>SUM(B34:B37)</f>
        <v>230</v>
      </c>
      <c r="D38" s="2"/>
      <c r="E38" s="2"/>
      <c r="G38" s="5"/>
      <c r="H38" s="2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  <c r="G39" s="4" t="s">
        <v>73</v>
      </c>
      <c r="H39" s="22"/>
    </row>
    <row r="40" spans="1:23" ht="14.25" x14ac:dyDescent="0.2">
      <c r="A40" s="6" t="s">
        <v>63</v>
      </c>
      <c r="B40" s="10"/>
      <c r="D40" s="6" t="s">
        <v>64</v>
      </c>
      <c r="E40" s="5">
        <v>2638903</v>
      </c>
      <c r="G40" s="6" t="s">
        <v>52</v>
      </c>
      <c r="H40" s="22">
        <v>2E-3</v>
      </c>
    </row>
    <row r="41" spans="1:23" s="3" customFormat="1" ht="14.25" x14ac:dyDescent="0.2">
      <c r="A41" s="2"/>
      <c r="B41" s="2"/>
      <c r="D41" s="6" t="s">
        <v>65</v>
      </c>
      <c r="E41" s="5">
        <v>5883</v>
      </c>
      <c r="G41" s="6" t="s">
        <v>54</v>
      </c>
      <c r="H41" s="22">
        <v>0.01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7442</v>
      </c>
      <c r="G42" s="6" t="s">
        <v>56</v>
      </c>
      <c r="H42" s="22">
        <v>3.3000000000000002E-2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-1559</v>
      </c>
      <c r="G43" s="6" t="s">
        <v>58</v>
      </c>
      <c r="H43" s="22">
        <v>5.6000000000000001E-2</v>
      </c>
    </row>
    <row r="44" spans="1:23" ht="14.25" x14ac:dyDescent="0.2">
      <c r="A44" s="5"/>
      <c r="D44" s="6" t="s">
        <v>71</v>
      </c>
      <c r="E44" s="5">
        <f>E40-E45</f>
        <v>8653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</row>
    <row r="46" spans="1:23" ht="14.25" x14ac:dyDescent="0.2">
      <c r="A46" s="14"/>
      <c r="B46" s="5"/>
      <c r="C46" s="5"/>
      <c r="E46" s="5"/>
    </row>
    <row r="47" spans="1:23" ht="14.25" x14ac:dyDescent="0.2">
      <c r="A47" s="14"/>
      <c r="B47" s="5"/>
      <c r="C47" s="18"/>
      <c r="F47" s="18"/>
      <c r="G47" s="16"/>
      <c r="H47" s="16"/>
      <c r="I47" s="16"/>
    </row>
    <row r="48" spans="1:23" ht="14.25" x14ac:dyDescent="0.2">
      <c r="A48" s="14"/>
      <c r="B48" s="5"/>
      <c r="F48" s="13"/>
      <c r="G48" s="19"/>
      <c r="H48" s="20"/>
      <c r="I48" s="21"/>
    </row>
    <row r="49" spans="1:9" ht="14.25" x14ac:dyDescent="0.2">
      <c r="A49" s="14"/>
      <c r="B49" s="5"/>
      <c r="F49" s="13"/>
      <c r="G49" s="19"/>
      <c r="H49" s="20"/>
      <c r="I49" s="21"/>
    </row>
    <row r="50" spans="1:9" x14ac:dyDescent="0.15">
      <c r="A50" s="19"/>
      <c r="B50" s="13"/>
      <c r="C50" s="13"/>
      <c r="F50" s="13"/>
      <c r="G50" s="19"/>
      <c r="H50" s="20"/>
      <c r="I50" s="21"/>
    </row>
  </sheetData>
  <phoneticPr fontId="19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W50"/>
  <sheetViews>
    <sheetView topLeftCell="A7" workbookViewId="0">
      <selection activeCell="B26" sqref="B26"/>
    </sheetView>
  </sheetViews>
  <sheetFormatPr defaultColWidth="8.875" defaultRowHeight="13.5" x14ac:dyDescent="0.15"/>
  <cols>
    <col min="1" max="1" width="25.5" style="2" customWidth="1"/>
    <col min="2" max="2" width="21" style="2" customWidth="1"/>
    <col min="3" max="3" width="3.375" style="3" customWidth="1"/>
    <col min="4" max="4" width="22.125" style="2" customWidth="1"/>
    <col min="5" max="5" width="22" style="2" customWidth="1"/>
    <col min="6" max="6" width="1.875" style="3" customWidth="1"/>
    <col min="7" max="7" width="24.625" style="2" customWidth="1"/>
    <col min="8" max="8" width="19.5" style="2" customWidth="1"/>
    <col min="9" max="9" width="21.625" style="2" customWidth="1"/>
    <col min="10" max="10" width="7.125" style="2" customWidth="1"/>
    <col min="11" max="13" width="8.875" style="2"/>
    <col min="14" max="14" width="21.5" style="2" bestFit="1" customWidth="1"/>
    <col min="15" max="16384" width="8.875" style="2"/>
  </cols>
  <sheetData>
    <row r="1" spans="1:10" ht="18" customHeight="1" x14ac:dyDescent="0.25">
      <c r="A1" s="1" t="s">
        <v>0</v>
      </c>
    </row>
    <row r="2" spans="1:10" ht="14.25" x14ac:dyDescent="0.2">
      <c r="A2" s="4" t="s">
        <v>68</v>
      </c>
      <c r="D2" s="4" t="s">
        <v>69</v>
      </c>
      <c r="G2" s="4" t="s">
        <v>1</v>
      </c>
      <c r="I2" s="5"/>
    </row>
    <row r="3" spans="1:10" ht="14.25" x14ac:dyDescent="0.2">
      <c r="A3" s="6" t="s">
        <v>2</v>
      </c>
      <c r="B3" s="5">
        <v>5927051.5300000003</v>
      </c>
      <c r="D3" s="6" t="s">
        <v>2</v>
      </c>
      <c r="E3" s="7">
        <v>3100014.55</v>
      </c>
      <c r="G3" s="6" t="s">
        <v>3</v>
      </c>
      <c r="I3" s="8" t="s">
        <v>4</v>
      </c>
      <c r="J3" s="6" t="s">
        <v>5</v>
      </c>
    </row>
    <row r="4" spans="1:10" ht="14.25" x14ac:dyDescent="0.2">
      <c r="A4" s="6" t="s">
        <v>6</v>
      </c>
      <c r="B4" s="7">
        <v>1351707</v>
      </c>
      <c r="D4" s="6" t="s">
        <v>7</v>
      </c>
      <c r="E4" s="7">
        <v>2813482.55</v>
      </c>
      <c r="H4" s="6" t="s">
        <v>8</v>
      </c>
      <c r="I4" s="9"/>
      <c r="J4" s="9"/>
    </row>
    <row r="5" spans="1:10" ht="14.25" x14ac:dyDescent="0.2">
      <c r="A5" s="6" t="s">
        <v>9</v>
      </c>
      <c r="B5" s="5">
        <v>24450228.109999999</v>
      </c>
      <c r="D5" s="6" t="s">
        <v>10</v>
      </c>
      <c r="E5" s="5">
        <v>286532</v>
      </c>
      <c r="H5" s="6" t="s">
        <v>11</v>
      </c>
      <c r="I5" s="9"/>
      <c r="J5" s="9"/>
    </row>
    <row r="6" spans="1:10" ht="14.25" x14ac:dyDescent="0.2">
      <c r="A6" s="6" t="s">
        <v>7</v>
      </c>
      <c r="B6" s="5">
        <v>23098521.109999999</v>
      </c>
      <c r="D6" s="6" t="s">
        <v>12</v>
      </c>
      <c r="E6" s="5"/>
      <c r="H6" s="6" t="s">
        <v>13</v>
      </c>
      <c r="I6" s="9"/>
      <c r="J6" s="9"/>
    </row>
    <row r="7" spans="1:10" ht="14.25" x14ac:dyDescent="0.2">
      <c r="A7" s="6" t="s">
        <v>12</v>
      </c>
      <c r="B7" s="5"/>
      <c r="D7" s="6" t="s">
        <v>14</v>
      </c>
      <c r="E7" s="7">
        <v>3089896.15</v>
      </c>
      <c r="H7" s="6" t="s">
        <v>15</v>
      </c>
      <c r="I7" s="9"/>
      <c r="J7" s="9"/>
    </row>
    <row r="8" spans="1:10" ht="14.25" x14ac:dyDescent="0.2">
      <c r="A8" s="6" t="s">
        <v>14</v>
      </c>
      <c r="B8" s="5">
        <v>25491673.370000001</v>
      </c>
      <c r="D8" s="6" t="s">
        <v>16</v>
      </c>
      <c r="E8" s="7">
        <v>128</v>
      </c>
      <c r="G8" s="6"/>
      <c r="H8" s="6" t="s">
        <v>17</v>
      </c>
      <c r="I8" s="9"/>
    </row>
    <row r="9" spans="1:10" ht="14.25" x14ac:dyDescent="0.2">
      <c r="A9" s="6" t="s">
        <v>18</v>
      </c>
      <c r="B9" s="5">
        <v>1469.58</v>
      </c>
      <c r="D9" s="6" t="s">
        <v>19</v>
      </c>
      <c r="E9" s="10">
        <v>190</v>
      </c>
      <c r="H9" s="6"/>
    </row>
    <row r="10" spans="1:10" ht="14.25" x14ac:dyDescent="0.2">
      <c r="A10" s="6" t="s">
        <v>20</v>
      </c>
      <c r="B10" s="5">
        <v>17800000</v>
      </c>
      <c r="D10" s="6" t="s">
        <v>21</v>
      </c>
      <c r="E10" s="5">
        <f>E8</f>
        <v>128</v>
      </c>
      <c r="G10" s="6"/>
      <c r="H10" s="6" t="s">
        <v>22</v>
      </c>
      <c r="I10" s="10"/>
    </row>
    <row r="11" spans="1:10" ht="14.25" x14ac:dyDescent="0.2">
      <c r="A11" s="6" t="s">
        <v>23</v>
      </c>
      <c r="B11" s="5">
        <f>B9</f>
        <v>1469.58</v>
      </c>
      <c r="D11" s="6"/>
      <c r="E11" s="5"/>
      <c r="G11" s="6"/>
      <c r="H11" s="6" t="s">
        <v>24</v>
      </c>
      <c r="I11" s="10"/>
    </row>
    <row r="12" spans="1:10" ht="14.25" x14ac:dyDescent="0.2">
      <c r="A12" s="6" t="s">
        <v>25</v>
      </c>
      <c r="B12" s="7">
        <v>60.5</v>
      </c>
      <c r="E12" s="5"/>
      <c r="G12" s="6" t="s">
        <v>26</v>
      </c>
      <c r="I12" s="5"/>
    </row>
    <row r="13" spans="1:10" ht="14.25" x14ac:dyDescent="0.2">
      <c r="A13" s="6" t="s">
        <v>27</v>
      </c>
      <c r="B13" s="5">
        <f>B12</f>
        <v>60.5</v>
      </c>
      <c r="E13" s="5"/>
      <c r="G13" s="6"/>
      <c r="H13" s="6" t="s">
        <v>28</v>
      </c>
      <c r="I13" s="11"/>
    </row>
    <row r="14" spans="1:10" ht="14.25" x14ac:dyDescent="0.2">
      <c r="A14" s="6" t="s">
        <v>29</v>
      </c>
      <c r="B14" s="10"/>
      <c r="G14" s="6"/>
      <c r="H14" s="6" t="s">
        <v>30</v>
      </c>
      <c r="I14" s="11"/>
    </row>
    <row r="15" spans="1:10" ht="14.25" x14ac:dyDescent="0.2">
      <c r="A15" s="6" t="s">
        <v>31</v>
      </c>
      <c r="B15" s="5"/>
      <c r="G15" s="6"/>
      <c r="H15" s="6" t="s">
        <v>32</v>
      </c>
      <c r="I15" s="11"/>
    </row>
    <row r="16" spans="1:10" ht="14.25" x14ac:dyDescent="0.2">
      <c r="A16" s="6" t="s">
        <v>33</v>
      </c>
      <c r="B16" s="5"/>
      <c r="G16" s="6" t="s">
        <v>14</v>
      </c>
      <c r="H16" s="5"/>
      <c r="I16" s="11">
        <v>2728816.6400000001</v>
      </c>
    </row>
    <row r="17" spans="1:14" ht="14.25" x14ac:dyDescent="0.2">
      <c r="A17" s="12"/>
      <c r="B17" s="5"/>
      <c r="G17" s="6" t="s">
        <v>34</v>
      </c>
      <c r="H17" s="5"/>
      <c r="I17" s="11">
        <v>2728816.6400000001</v>
      </c>
    </row>
    <row r="18" spans="1:14" ht="14.25" x14ac:dyDescent="0.2">
      <c r="G18" s="6" t="s">
        <v>10</v>
      </c>
      <c r="H18" s="5"/>
      <c r="I18" s="11">
        <v>0</v>
      </c>
    </row>
    <row r="19" spans="1:14" ht="14.25" x14ac:dyDescent="0.2">
      <c r="A19" s="5"/>
      <c r="G19" s="6" t="s">
        <v>35</v>
      </c>
      <c r="H19" s="5"/>
      <c r="I19" s="11"/>
    </row>
    <row r="20" spans="1:14" ht="14.25" x14ac:dyDescent="0.2">
      <c r="D20" s="5"/>
      <c r="G20" s="6" t="s">
        <v>36</v>
      </c>
      <c r="I20" s="11"/>
    </row>
    <row r="21" spans="1:14" ht="14.25" x14ac:dyDescent="0.2">
      <c r="G21" s="6"/>
      <c r="H21" s="6" t="s">
        <v>37</v>
      </c>
      <c r="I21" s="11"/>
      <c r="N21" s="5"/>
    </row>
    <row r="22" spans="1:14" ht="14.25" x14ac:dyDescent="0.2">
      <c r="G22" s="6"/>
      <c r="H22" s="6" t="s">
        <v>38</v>
      </c>
      <c r="I22" s="11"/>
    </row>
    <row r="23" spans="1:14" ht="14.25" x14ac:dyDescent="0.2">
      <c r="G23" s="6"/>
      <c r="H23" s="6" t="s">
        <v>39</v>
      </c>
      <c r="I23" s="11"/>
      <c r="N23" s="5"/>
    </row>
    <row r="24" spans="1:14" ht="14.25" x14ac:dyDescent="0.2">
      <c r="A24" s="4" t="s">
        <v>40</v>
      </c>
      <c r="H24" s="6" t="s">
        <v>41</v>
      </c>
      <c r="I24" s="11"/>
    </row>
    <row r="25" spans="1:14" ht="14.25" x14ac:dyDescent="0.2">
      <c r="A25" s="6" t="s">
        <v>42</v>
      </c>
      <c r="B25" s="5">
        <f>B8+E7+I16+B45</f>
        <v>31310386.16</v>
      </c>
      <c r="H25" s="6" t="s">
        <v>43</v>
      </c>
      <c r="I25" s="11"/>
    </row>
    <row r="26" spans="1:14" ht="14.25" x14ac:dyDescent="0.2">
      <c r="A26" s="6" t="s">
        <v>44</v>
      </c>
      <c r="B26" s="5">
        <f>B4+E5+I18</f>
        <v>1638239</v>
      </c>
      <c r="G26" s="6"/>
      <c r="H26" s="6" t="s">
        <v>45</v>
      </c>
      <c r="I26" s="5"/>
    </row>
    <row r="27" spans="1:14" ht="14.25" x14ac:dyDescent="0.2">
      <c r="A27" s="6" t="s">
        <v>46</v>
      </c>
      <c r="B27" s="5">
        <f>$B$13+$E$10+$I$25</f>
        <v>188.5</v>
      </c>
      <c r="H27" s="6" t="s">
        <v>47</v>
      </c>
      <c r="I27" s="5"/>
    </row>
    <row r="28" spans="1:14" ht="14.25" x14ac:dyDescent="0.2">
      <c r="A28" s="6" t="s">
        <v>48</v>
      </c>
      <c r="B28" s="5">
        <f>B12+E8+I26</f>
        <v>188.5</v>
      </c>
    </row>
    <row r="29" spans="1:14" ht="14.25" x14ac:dyDescent="0.2">
      <c r="A29" s="6"/>
      <c r="B29" s="5"/>
    </row>
    <row r="30" spans="1:14" ht="14.25" x14ac:dyDescent="0.2">
      <c r="G30" s="6"/>
      <c r="H30" s="6"/>
      <c r="I30" s="5"/>
    </row>
    <row r="31" spans="1:14" s="3" customFormat="1" x14ac:dyDescent="0.15">
      <c r="J31" s="2"/>
    </row>
    <row r="32" spans="1:14" ht="15.75" x14ac:dyDescent="0.25">
      <c r="A32" s="1" t="s">
        <v>49</v>
      </c>
      <c r="G32" s="14"/>
    </row>
    <row r="33" spans="1:23" s="3" customFormat="1" ht="14.25" x14ac:dyDescent="0.2">
      <c r="A33" s="4" t="s">
        <v>50</v>
      </c>
      <c r="B33" s="2"/>
      <c r="D33" s="4" t="s">
        <v>51</v>
      </c>
      <c r="E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3" s="3" customFormat="1" ht="14.25" x14ac:dyDescent="0.2">
      <c r="A34" s="6" t="s">
        <v>52</v>
      </c>
      <c r="B34" s="13">
        <v>150</v>
      </c>
      <c r="D34" s="6" t="s">
        <v>53</v>
      </c>
      <c r="E34" s="5">
        <v>-233165</v>
      </c>
      <c r="G34" s="14"/>
      <c r="H34" s="5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3" s="3" customFormat="1" ht="14.25" x14ac:dyDescent="0.2">
      <c r="A35" s="6" t="s">
        <v>54</v>
      </c>
      <c r="B35" s="13"/>
      <c r="D35" s="6" t="s">
        <v>55</v>
      </c>
      <c r="E35" s="15">
        <v>-34275</v>
      </c>
      <c r="G35" s="16"/>
      <c r="H35" s="5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3" s="3" customFormat="1" ht="14.25" x14ac:dyDescent="0.2">
      <c r="A36" s="6" t="s">
        <v>56</v>
      </c>
      <c r="B36" s="13"/>
      <c r="D36" s="6" t="s">
        <v>57</v>
      </c>
      <c r="E36" s="15">
        <v>-372</v>
      </c>
      <c r="G36" s="5"/>
      <c r="H36" s="5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3" s="3" customFormat="1" ht="14.25" x14ac:dyDescent="0.2">
      <c r="A37" s="6" t="s">
        <v>58</v>
      </c>
      <c r="B37" s="13"/>
      <c r="D37" s="6" t="s">
        <v>59</v>
      </c>
      <c r="E37" s="5">
        <v>388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3" s="3" customFormat="1" ht="14.25" x14ac:dyDescent="0.2">
      <c r="A38" s="6" t="s">
        <v>60</v>
      </c>
      <c r="B38" s="13">
        <f>SUM(B34:B37)</f>
        <v>150</v>
      </c>
      <c r="D38" s="2"/>
      <c r="E38" s="2"/>
      <c r="G38" s="5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3" ht="14.25" x14ac:dyDescent="0.2">
      <c r="A39" s="6" t="s">
        <v>61</v>
      </c>
      <c r="B39" s="10"/>
      <c r="D39" s="4" t="s">
        <v>62</v>
      </c>
    </row>
    <row r="40" spans="1:23" ht="14.25" x14ac:dyDescent="0.2">
      <c r="A40" s="6" t="s">
        <v>63</v>
      </c>
      <c r="B40" s="10"/>
      <c r="D40" s="6" t="s">
        <v>64</v>
      </c>
      <c r="E40" s="5">
        <v>2633004</v>
      </c>
    </row>
    <row r="41" spans="1:23" s="3" customFormat="1" ht="14.25" x14ac:dyDescent="0.2">
      <c r="A41" s="2"/>
      <c r="B41" s="2"/>
      <c r="D41" s="6" t="s">
        <v>65</v>
      </c>
      <c r="E41" s="5">
        <v>2754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s="3" customFormat="1" ht="14.25" x14ac:dyDescent="0.2">
      <c r="A42" s="2"/>
      <c r="B42" s="17"/>
      <c r="D42" s="6" t="s">
        <v>66</v>
      </c>
      <c r="E42" s="5">
        <v>2754</v>
      </c>
      <c r="G42" s="5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ht="14.25" x14ac:dyDescent="0.2">
      <c r="D43" s="6" t="s">
        <v>67</v>
      </c>
      <c r="E43" s="5">
        <v>0</v>
      </c>
      <c r="G43" s="5"/>
    </row>
    <row r="44" spans="1:23" ht="14.25" x14ac:dyDescent="0.2">
      <c r="A44" s="5"/>
      <c r="D44" s="6" t="s">
        <v>71</v>
      </c>
      <c r="E44" s="5">
        <f>E40-E45</f>
        <v>2754</v>
      </c>
    </row>
    <row r="45" spans="1:23" ht="14.25" x14ac:dyDescent="0.2">
      <c r="A45" s="14"/>
      <c r="B45" s="5"/>
      <c r="C45" s="5"/>
      <c r="D45" s="6" t="s">
        <v>70</v>
      </c>
      <c r="E45" s="15">
        <v>2630250</v>
      </c>
    </row>
    <row r="46" spans="1:23" ht="14.25" x14ac:dyDescent="0.2">
      <c r="A46" s="14"/>
      <c r="B46" s="5"/>
      <c r="C46" s="5"/>
      <c r="E46" s="5"/>
    </row>
    <row r="47" spans="1:23" ht="14.25" x14ac:dyDescent="0.2">
      <c r="A47" s="14"/>
      <c r="B47" s="5"/>
      <c r="C47" s="18"/>
      <c r="F47" s="18"/>
      <c r="G47" s="16"/>
      <c r="H47" s="16"/>
      <c r="I47" s="16"/>
    </row>
    <row r="48" spans="1:23" ht="14.25" x14ac:dyDescent="0.2">
      <c r="A48" s="14"/>
      <c r="B48" s="5"/>
      <c r="F48" s="13"/>
      <c r="G48" s="19"/>
      <c r="H48" s="20"/>
      <c r="I48" s="21"/>
    </row>
    <row r="49" spans="1:9" ht="14.25" x14ac:dyDescent="0.2">
      <c r="A49" s="14"/>
      <c r="B49" s="5"/>
      <c r="F49" s="13"/>
      <c r="G49" s="19"/>
      <c r="H49" s="20"/>
      <c r="I49" s="21"/>
    </row>
    <row r="50" spans="1:9" x14ac:dyDescent="0.15">
      <c r="A50" s="19"/>
      <c r="B50" s="13"/>
      <c r="C50" s="13"/>
      <c r="F50" s="13"/>
      <c r="G50" s="19"/>
      <c r="H50" s="20"/>
      <c r="I50" s="21"/>
    </row>
  </sheetData>
  <phoneticPr fontId="19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6"/>
  <sheetViews>
    <sheetView workbookViewId="0">
      <selection activeCell="E2" sqref="E2:E16"/>
    </sheetView>
  </sheetViews>
  <sheetFormatPr defaultRowHeight="13.5" x14ac:dyDescent="0.15"/>
  <cols>
    <col min="1" max="1" width="16.125" bestFit="1" customWidth="1"/>
    <col min="2" max="2" width="10.5" bestFit="1" customWidth="1"/>
    <col min="3" max="3" width="11.625" bestFit="1" customWidth="1"/>
    <col min="4" max="4" width="15" bestFit="1" customWidth="1"/>
    <col min="5" max="5" width="16.125" bestFit="1" customWidth="1"/>
  </cols>
  <sheetData>
    <row r="1" spans="1:5" x14ac:dyDescent="0.15">
      <c r="B1" s="26" t="s">
        <v>85</v>
      </c>
      <c r="C1" s="26" t="s">
        <v>86</v>
      </c>
      <c r="D1" s="26" t="s">
        <v>87</v>
      </c>
      <c r="E1" s="26" t="s">
        <v>88</v>
      </c>
    </row>
    <row r="2" spans="1:5" x14ac:dyDescent="0.15">
      <c r="A2" t="s">
        <v>102</v>
      </c>
      <c r="B2" s="27">
        <v>1469.58</v>
      </c>
      <c r="C2" s="27">
        <v>188.5</v>
      </c>
      <c r="D2" s="27">
        <v>2754</v>
      </c>
      <c r="E2" s="27">
        <v>1638239</v>
      </c>
    </row>
    <row r="3" spans="1:5" x14ac:dyDescent="0.15">
      <c r="A3" t="s">
        <v>101</v>
      </c>
      <c r="B3" s="27">
        <v>2318.0700000000002</v>
      </c>
      <c r="C3" s="27">
        <v>658.48</v>
      </c>
      <c r="D3" s="27">
        <v>8653</v>
      </c>
      <c r="E3" s="27">
        <v>5933851.7999999998</v>
      </c>
    </row>
    <row r="4" spans="1:5" x14ac:dyDescent="0.15">
      <c r="A4" t="s">
        <v>100</v>
      </c>
      <c r="B4" s="27">
        <v>2958.9</v>
      </c>
      <c r="C4" s="27">
        <v>1454.38</v>
      </c>
      <c r="D4" s="27">
        <v>20237</v>
      </c>
      <c r="E4" s="27">
        <v>7498480.9000000004</v>
      </c>
    </row>
    <row r="5" spans="1:5" x14ac:dyDescent="0.15">
      <c r="A5" t="s">
        <v>99</v>
      </c>
      <c r="B5" s="27">
        <v>5202.83</v>
      </c>
      <c r="C5" s="27">
        <v>2289.89</v>
      </c>
      <c r="D5" s="27">
        <v>18784</v>
      </c>
      <c r="E5" s="27">
        <v>13935425.5</v>
      </c>
    </row>
    <row r="6" spans="1:5" x14ac:dyDescent="0.15">
      <c r="A6" t="s">
        <v>98</v>
      </c>
      <c r="B6" s="27">
        <v>5634.62</v>
      </c>
      <c r="C6" s="27">
        <v>3401.57</v>
      </c>
      <c r="D6" s="27">
        <v>19047</v>
      </c>
      <c r="E6" s="27">
        <v>15342064.699999999</v>
      </c>
    </row>
    <row r="7" spans="1:5" x14ac:dyDescent="0.15">
      <c r="A7" t="s">
        <v>97</v>
      </c>
      <c r="B7" s="27">
        <v>6422.15</v>
      </c>
      <c r="C7" s="27">
        <v>3167.41</v>
      </c>
      <c r="D7" s="27">
        <v>30457</v>
      </c>
      <c r="E7" s="27">
        <v>6858332.5</v>
      </c>
    </row>
    <row r="8" spans="1:5" x14ac:dyDescent="0.15">
      <c r="A8" t="s">
        <v>96</v>
      </c>
      <c r="B8" s="27">
        <v>7217.56</v>
      </c>
      <c r="C8" s="27">
        <v>5770.48</v>
      </c>
      <c r="D8" s="27">
        <v>34730</v>
      </c>
      <c r="E8" s="27">
        <v>10034727.300000001</v>
      </c>
    </row>
    <row r="9" spans="1:5" x14ac:dyDescent="0.15">
      <c r="A9" t="s">
        <v>95</v>
      </c>
      <c r="B9" s="27">
        <v>7753.33</v>
      </c>
      <c r="C9" s="27">
        <v>7087.65</v>
      </c>
      <c r="D9" s="27">
        <v>79646</v>
      </c>
      <c r="E9" s="27">
        <v>14871302.1</v>
      </c>
    </row>
    <row r="10" spans="1:5" x14ac:dyDescent="0.15">
      <c r="A10" t="s">
        <v>94</v>
      </c>
      <c r="B10" s="27">
        <v>8534.75</v>
      </c>
      <c r="C10" s="27">
        <v>9439.33</v>
      </c>
      <c r="D10" s="27">
        <v>94153</v>
      </c>
      <c r="E10" s="27">
        <v>18037315.649999999</v>
      </c>
    </row>
    <row r="11" spans="1:5" x14ac:dyDescent="0.15">
      <c r="A11" t="s">
        <v>93</v>
      </c>
      <c r="B11" s="27">
        <v>8534.75</v>
      </c>
      <c r="C11" s="27">
        <v>10546.37</v>
      </c>
      <c r="D11" s="27">
        <v>73612</v>
      </c>
      <c r="E11" s="27">
        <v>22126331.399999999</v>
      </c>
    </row>
    <row r="12" spans="1:5" x14ac:dyDescent="0.15">
      <c r="A12" t="s">
        <v>92</v>
      </c>
      <c r="B12" s="27">
        <v>8620.91</v>
      </c>
      <c r="C12" s="27">
        <v>11076.96</v>
      </c>
      <c r="D12" s="27">
        <v>43605</v>
      </c>
      <c r="E12" s="27">
        <v>21792238.550000001</v>
      </c>
    </row>
    <row r="13" spans="1:5" x14ac:dyDescent="0.15">
      <c r="A13" t="s">
        <v>91</v>
      </c>
      <c r="B13" s="27">
        <v>8710.93</v>
      </c>
      <c r="C13" s="27">
        <v>11918.47</v>
      </c>
      <c r="D13" s="27">
        <v>54244</v>
      </c>
      <c r="E13" s="27">
        <v>22821415.899999999</v>
      </c>
    </row>
    <row r="14" spans="1:5" x14ac:dyDescent="0.15">
      <c r="A14" t="s">
        <v>90</v>
      </c>
      <c r="B14" s="27">
        <v>8745.0400000000009</v>
      </c>
      <c r="C14" s="27">
        <v>12655.09</v>
      </c>
      <c r="D14" s="27">
        <v>76693</v>
      </c>
      <c r="E14" s="27">
        <v>22824233.949999999</v>
      </c>
    </row>
    <row r="15" spans="1:5" x14ac:dyDescent="0.15">
      <c r="A15" t="s">
        <v>89</v>
      </c>
      <c r="B15" s="27">
        <v>8745.0400000000009</v>
      </c>
      <c r="C15" s="27">
        <v>13023.34</v>
      </c>
      <c r="D15" s="27">
        <v>81036</v>
      </c>
      <c r="E15" s="27">
        <v>24020682.41</v>
      </c>
    </row>
    <row r="16" spans="1:5" x14ac:dyDescent="0.15">
      <c r="A16" t="s">
        <v>103</v>
      </c>
      <c r="B16" s="27">
        <v>8745.0400000000009</v>
      </c>
      <c r="C16" s="27">
        <v>9002.2099999999991</v>
      </c>
      <c r="D16" s="27">
        <v>92444</v>
      </c>
      <c r="E16" s="27">
        <v>24020682.41</v>
      </c>
    </row>
  </sheetData>
  <sortState ref="A2:E16">
    <sortCondition ref="A2"/>
  </sortState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20180528_Open</vt:lpstr>
      <vt:lpstr>20180525_Open</vt:lpstr>
      <vt:lpstr>20180524_Open</vt:lpstr>
      <vt:lpstr>20180523_Open</vt:lpstr>
      <vt:lpstr>20180522_Open</vt:lpstr>
      <vt:lpstr>20180521_Open</vt:lpstr>
      <vt:lpstr>20180518_Open</vt:lpstr>
      <vt:lpstr>20180517_Open</vt:lpstr>
      <vt:lpstr>20180516_Open</vt:lpstr>
      <vt:lpstr>20180515_Open</vt:lpstr>
      <vt:lpstr>20180514_Open </vt:lpstr>
      <vt:lpstr>20180511_Open</vt:lpstr>
      <vt:lpstr>20180510_Open</vt:lpstr>
      <vt:lpstr>20180509_Open</vt:lpstr>
      <vt:lpstr>20180508_Open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lingxuezhen</dc:creator>
  <cp:lastModifiedBy>Yuchuan Dang</cp:lastModifiedBy>
  <cp:lastPrinted>2018-03-19T23:18:09Z</cp:lastPrinted>
  <dcterms:created xsi:type="dcterms:W3CDTF">2018-03-19T23:14:56Z</dcterms:created>
  <dcterms:modified xsi:type="dcterms:W3CDTF">2018-05-25T15:20:30Z</dcterms:modified>
</cp:coreProperties>
</file>