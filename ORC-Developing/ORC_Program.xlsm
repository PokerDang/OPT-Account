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iaoyi\Desktop\"/>
    </mc:Choice>
  </mc:AlternateContent>
  <bookViews>
    <workbookView xWindow="0" yWindow="0" windowWidth="22260" windowHeight="12645" activeTab="1"/>
  </bookViews>
  <sheets>
    <sheet name="Position" sheetId="1" r:id="rId1"/>
    <sheet name="Trading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D3" i="1"/>
  <c r="D4" i="1"/>
  <c r="D5" i="1"/>
  <c r="D6" i="1"/>
  <c r="D7" i="1"/>
  <c r="D8" i="1"/>
  <c r="D9" i="1"/>
  <c r="D10" i="1"/>
  <c r="D11" i="1"/>
  <c r="D12" i="1"/>
  <c r="D13" i="1"/>
  <c r="D14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4" i="1"/>
  <c r="D65" i="1"/>
  <c r="D66" i="1"/>
  <c r="D67" i="1"/>
  <c r="D68" i="1"/>
  <c r="D69" i="1"/>
  <c r="D70" i="1"/>
  <c r="D71" i="1"/>
  <c r="D72" i="1"/>
  <c r="D73" i="1"/>
  <c r="D74" i="1"/>
  <c r="B3" i="1"/>
  <c r="J3" i="1" s="1"/>
  <c r="B4" i="1"/>
  <c r="B5" i="1"/>
  <c r="B6" i="1"/>
  <c r="B7" i="1"/>
  <c r="B8" i="1"/>
  <c r="B9" i="1"/>
  <c r="B10" i="1"/>
  <c r="B11" i="1"/>
  <c r="B12" i="1"/>
  <c r="B13" i="1"/>
  <c r="B14" i="1"/>
  <c r="B16" i="1"/>
  <c r="J4" i="1" s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5" i="1"/>
  <c r="J5" i="1" s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4" i="1"/>
  <c r="J6" i="1" s="1"/>
  <c r="B65" i="1"/>
  <c r="B66" i="1"/>
  <c r="B67" i="1"/>
  <c r="B68" i="1"/>
  <c r="B69" i="1"/>
  <c r="B70" i="1"/>
  <c r="B71" i="1"/>
  <c r="B72" i="1"/>
  <c r="B73" i="1"/>
  <c r="B74" i="1"/>
  <c r="K5" i="1" l="1"/>
  <c r="I6" i="1"/>
  <c r="K6" i="1" s="1"/>
  <c r="I3" i="1"/>
  <c r="K3" i="1" s="1"/>
  <c r="I4" i="1"/>
  <c r="K4" i="1" s="1"/>
</calcChain>
</file>

<file path=xl/sharedStrings.xml><?xml version="1.0" encoding="utf-8"?>
<sst xmlns="http://schemas.openxmlformats.org/spreadsheetml/2006/main" count="77" uniqueCount="76">
  <si>
    <t>E 2.45 Q</t>
  </si>
  <si>
    <t>E 2.5 Q</t>
  </si>
  <si>
    <t>E 2.55 Q</t>
  </si>
  <si>
    <t>E 2.6 Q</t>
  </si>
  <si>
    <t>E 2.65 Q</t>
  </si>
  <si>
    <t>E 2.7 Q</t>
  </si>
  <si>
    <t>E 2.75 Q</t>
  </si>
  <si>
    <t>E 2.8 Q</t>
  </si>
  <si>
    <t>E 2.85 Q</t>
  </si>
  <si>
    <t>E 2.9 Q</t>
  </si>
  <si>
    <t>E 2.95 Q</t>
  </si>
  <si>
    <t>E 3 Q</t>
  </si>
  <si>
    <t>F 2.45 R</t>
  </si>
  <si>
    <t>F 2.5 R</t>
  </si>
  <si>
    <t>F 2.55 R</t>
  </si>
  <si>
    <t>F 2.6 R</t>
  </si>
  <si>
    <t>F 2.65 R</t>
  </si>
  <si>
    <t>F 2.651 R</t>
  </si>
  <si>
    <t>F 2.7 R</t>
  </si>
  <si>
    <t>F 2.749 R</t>
  </si>
  <si>
    <t>F 2.75 R</t>
  </si>
  <si>
    <t>F 2.798 R</t>
  </si>
  <si>
    <t>F 2.8 R</t>
  </si>
  <si>
    <t>F 2.847 R</t>
  </si>
  <si>
    <t>F 2.85 R</t>
  </si>
  <si>
    <t>F 2.896 R</t>
  </si>
  <si>
    <t>F 2.9 R</t>
  </si>
  <si>
    <t>F 2.946 R</t>
  </si>
  <si>
    <t>F 2.95 R</t>
  </si>
  <si>
    <t>F 3 R</t>
  </si>
  <si>
    <t>F 3.044 R</t>
  </si>
  <si>
    <t>F 3.1 R</t>
  </si>
  <si>
    <t>F 3.142 R</t>
  </si>
  <si>
    <t>F 3.2 R</t>
  </si>
  <si>
    <t>F 3.24 R</t>
  </si>
  <si>
    <t>F 3.3 R</t>
  </si>
  <si>
    <t>F 3.4 R</t>
  </si>
  <si>
    <t>F 3.5 R</t>
  </si>
  <si>
    <t>F 3.6 R</t>
  </si>
  <si>
    <t>I 2.45 U</t>
  </si>
  <si>
    <t>I 2.5 U</t>
  </si>
  <si>
    <t>I 2.55 U</t>
  </si>
  <si>
    <t>I 2.6 U</t>
  </si>
  <si>
    <t>I 2.65 U</t>
  </si>
  <si>
    <t>I 2.7 U</t>
  </si>
  <si>
    <t>I 2.75 U</t>
  </si>
  <si>
    <t>I 2.8 U</t>
  </si>
  <si>
    <t>I 2.85 U</t>
  </si>
  <si>
    <t>I 2.9 U</t>
  </si>
  <si>
    <t>I 2.95 U</t>
  </si>
  <si>
    <t>I 3 U</t>
  </si>
  <si>
    <t>I 3.1 U</t>
  </si>
  <si>
    <t>I 3.2 U</t>
  </si>
  <si>
    <t>I 3.3 U</t>
  </si>
  <si>
    <t>I 3.4 U</t>
  </si>
  <si>
    <t>I 3.5 U</t>
  </si>
  <si>
    <t>I 3.6 U</t>
  </si>
  <si>
    <t>L 2.45 X</t>
  </si>
  <si>
    <t>L 2.5 X</t>
  </si>
  <si>
    <t>L 2.55 X</t>
  </si>
  <si>
    <t>L 2.6 X</t>
  </si>
  <si>
    <t>L 2.65 X</t>
  </si>
  <si>
    <t>L 2.7 X</t>
  </si>
  <si>
    <t>L 2.75 X</t>
  </si>
  <si>
    <t>L 2.8 X</t>
  </si>
  <si>
    <t>L 2.85 X</t>
  </si>
  <si>
    <t>L 2.9 X</t>
  </si>
  <si>
    <t>L 2.95 X</t>
  </si>
  <si>
    <t>Option Postion</t>
  </si>
  <si>
    <t>May</t>
  </si>
  <si>
    <t>Jun</t>
  </si>
  <si>
    <t>Sep</t>
  </si>
  <si>
    <t>Dce</t>
  </si>
  <si>
    <t>Long</t>
  </si>
  <si>
    <t>Short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</si>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</sst>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2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5.xml"/><Relationship Id="rId21" Type="http://schemas.openxmlformats.org/officeDocument/2006/relationships/externalLink" Target="externalLinks/externalLink19.xml"/><Relationship Id="rId42" Type="http://schemas.openxmlformats.org/officeDocument/2006/relationships/externalLink" Target="externalLinks/externalLink40.xml"/><Relationship Id="rId63" Type="http://schemas.openxmlformats.org/officeDocument/2006/relationships/externalLink" Target="externalLinks/externalLink61.xml"/><Relationship Id="rId84" Type="http://schemas.openxmlformats.org/officeDocument/2006/relationships/externalLink" Target="externalLinks/externalLink82.xml"/><Relationship Id="rId138" Type="http://schemas.openxmlformats.org/officeDocument/2006/relationships/externalLink" Target="externalLinks/externalLink136.xml"/><Relationship Id="rId107" Type="http://schemas.openxmlformats.org/officeDocument/2006/relationships/externalLink" Target="externalLinks/externalLink105.xml"/><Relationship Id="rId11" Type="http://schemas.openxmlformats.org/officeDocument/2006/relationships/externalLink" Target="externalLinks/externalLink9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51.xml"/><Relationship Id="rId58" Type="http://schemas.openxmlformats.org/officeDocument/2006/relationships/externalLink" Target="externalLinks/externalLink56.xml"/><Relationship Id="rId74" Type="http://schemas.openxmlformats.org/officeDocument/2006/relationships/externalLink" Target="externalLinks/externalLink72.xml"/><Relationship Id="rId79" Type="http://schemas.openxmlformats.org/officeDocument/2006/relationships/externalLink" Target="externalLinks/externalLink77.xml"/><Relationship Id="rId102" Type="http://schemas.openxmlformats.org/officeDocument/2006/relationships/externalLink" Target="externalLinks/externalLink100.xml"/><Relationship Id="rId123" Type="http://schemas.openxmlformats.org/officeDocument/2006/relationships/externalLink" Target="externalLinks/externalLink121.xml"/><Relationship Id="rId128" Type="http://schemas.openxmlformats.org/officeDocument/2006/relationships/externalLink" Target="externalLinks/externalLink126.xml"/><Relationship Id="rId144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90" Type="http://schemas.openxmlformats.org/officeDocument/2006/relationships/externalLink" Target="externalLinks/externalLink88.xml"/><Relationship Id="rId95" Type="http://schemas.openxmlformats.org/officeDocument/2006/relationships/externalLink" Target="externalLinks/externalLink93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43" Type="http://schemas.openxmlformats.org/officeDocument/2006/relationships/externalLink" Target="externalLinks/externalLink41.xml"/><Relationship Id="rId48" Type="http://schemas.openxmlformats.org/officeDocument/2006/relationships/externalLink" Target="externalLinks/externalLink46.xml"/><Relationship Id="rId64" Type="http://schemas.openxmlformats.org/officeDocument/2006/relationships/externalLink" Target="externalLinks/externalLink62.xml"/><Relationship Id="rId69" Type="http://schemas.openxmlformats.org/officeDocument/2006/relationships/externalLink" Target="externalLinks/externalLink67.xml"/><Relationship Id="rId113" Type="http://schemas.openxmlformats.org/officeDocument/2006/relationships/externalLink" Target="externalLinks/externalLink111.xml"/><Relationship Id="rId118" Type="http://schemas.openxmlformats.org/officeDocument/2006/relationships/externalLink" Target="externalLinks/externalLink116.xml"/><Relationship Id="rId134" Type="http://schemas.openxmlformats.org/officeDocument/2006/relationships/externalLink" Target="externalLinks/externalLink132.xml"/><Relationship Id="rId139" Type="http://schemas.openxmlformats.org/officeDocument/2006/relationships/externalLink" Target="externalLinks/externalLink137.xml"/><Relationship Id="rId80" Type="http://schemas.openxmlformats.org/officeDocument/2006/relationships/externalLink" Target="externalLinks/externalLink78.xml"/><Relationship Id="rId85" Type="http://schemas.openxmlformats.org/officeDocument/2006/relationships/externalLink" Target="externalLinks/externalLink83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59" Type="http://schemas.openxmlformats.org/officeDocument/2006/relationships/externalLink" Target="externalLinks/externalLink57.xml"/><Relationship Id="rId103" Type="http://schemas.openxmlformats.org/officeDocument/2006/relationships/externalLink" Target="externalLinks/externalLink101.xml"/><Relationship Id="rId108" Type="http://schemas.openxmlformats.org/officeDocument/2006/relationships/externalLink" Target="externalLinks/externalLink106.xml"/><Relationship Id="rId124" Type="http://schemas.openxmlformats.org/officeDocument/2006/relationships/externalLink" Target="externalLinks/externalLink122.xml"/><Relationship Id="rId129" Type="http://schemas.openxmlformats.org/officeDocument/2006/relationships/externalLink" Target="externalLinks/externalLink127.xml"/><Relationship Id="rId54" Type="http://schemas.openxmlformats.org/officeDocument/2006/relationships/externalLink" Target="externalLinks/externalLink52.xml"/><Relationship Id="rId70" Type="http://schemas.openxmlformats.org/officeDocument/2006/relationships/externalLink" Target="externalLinks/externalLink68.xml"/><Relationship Id="rId75" Type="http://schemas.openxmlformats.org/officeDocument/2006/relationships/externalLink" Target="externalLinks/externalLink73.xml"/><Relationship Id="rId91" Type="http://schemas.openxmlformats.org/officeDocument/2006/relationships/externalLink" Target="externalLinks/externalLink89.xml"/><Relationship Id="rId96" Type="http://schemas.openxmlformats.org/officeDocument/2006/relationships/externalLink" Target="externalLinks/externalLink94.xml"/><Relationship Id="rId140" Type="http://schemas.openxmlformats.org/officeDocument/2006/relationships/externalLink" Target="externalLinks/externalLink13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49" Type="http://schemas.openxmlformats.org/officeDocument/2006/relationships/externalLink" Target="externalLinks/externalLink47.xml"/><Relationship Id="rId114" Type="http://schemas.openxmlformats.org/officeDocument/2006/relationships/externalLink" Target="externalLinks/externalLink112.xml"/><Relationship Id="rId119" Type="http://schemas.openxmlformats.org/officeDocument/2006/relationships/externalLink" Target="externalLinks/externalLink117.xml"/><Relationship Id="rId44" Type="http://schemas.openxmlformats.org/officeDocument/2006/relationships/externalLink" Target="externalLinks/externalLink42.xml"/><Relationship Id="rId60" Type="http://schemas.openxmlformats.org/officeDocument/2006/relationships/externalLink" Target="externalLinks/externalLink58.xml"/><Relationship Id="rId65" Type="http://schemas.openxmlformats.org/officeDocument/2006/relationships/externalLink" Target="externalLinks/externalLink63.xml"/><Relationship Id="rId81" Type="http://schemas.openxmlformats.org/officeDocument/2006/relationships/externalLink" Target="externalLinks/externalLink79.xml"/><Relationship Id="rId86" Type="http://schemas.openxmlformats.org/officeDocument/2006/relationships/externalLink" Target="externalLinks/externalLink84.xml"/><Relationship Id="rId130" Type="http://schemas.openxmlformats.org/officeDocument/2006/relationships/externalLink" Target="externalLinks/externalLink128.xml"/><Relationship Id="rId135" Type="http://schemas.openxmlformats.org/officeDocument/2006/relationships/externalLink" Target="externalLinks/externalLink133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37.xml"/><Relationship Id="rId109" Type="http://schemas.openxmlformats.org/officeDocument/2006/relationships/externalLink" Target="externalLinks/externalLink107.xml"/><Relationship Id="rId34" Type="http://schemas.openxmlformats.org/officeDocument/2006/relationships/externalLink" Target="externalLinks/externalLink32.xml"/><Relationship Id="rId50" Type="http://schemas.openxmlformats.org/officeDocument/2006/relationships/externalLink" Target="externalLinks/externalLink48.xml"/><Relationship Id="rId55" Type="http://schemas.openxmlformats.org/officeDocument/2006/relationships/externalLink" Target="externalLinks/externalLink53.xml"/><Relationship Id="rId76" Type="http://schemas.openxmlformats.org/officeDocument/2006/relationships/externalLink" Target="externalLinks/externalLink74.xml"/><Relationship Id="rId97" Type="http://schemas.openxmlformats.org/officeDocument/2006/relationships/externalLink" Target="externalLinks/externalLink95.xml"/><Relationship Id="rId104" Type="http://schemas.openxmlformats.org/officeDocument/2006/relationships/externalLink" Target="externalLinks/externalLink102.xml"/><Relationship Id="rId120" Type="http://schemas.openxmlformats.org/officeDocument/2006/relationships/externalLink" Target="externalLinks/externalLink118.xml"/><Relationship Id="rId125" Type="http://schemas.openxmlformats.org/officeDocument/2006/relationships/externalLink" Target="externalLinks/externalLink123.xml"/><Relationship Id="rId141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71" Type="http://schemas.openxmlformats.org/officeDocument/2006/relationships/externalLink" Target="externalLinks/externalLink69.xml"/><Relationship Id="rId92" Type="http://schemas.openxmlformats.org/officeDocument/2006/relationships/externalLink" Target="externalLinks/externalLink90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7.xml"/><Relationship Id="rId24" Type="http://schemas.openxmlformats.org/officeDocument/2006/relationships/externalLink" Target="externalLinks/externalLink22.xml"/><Relationship Id="rId40" Type="http://schemas.openxmlformats.org/officeDocument/2006/relationships/externalLink" Target="externalLinks/externalLink38.xml"/><Relationship Id="rId45" Type="http://schemas.openxmlformats.org/officeDocument/2006/relationships/externalLink" Target="externalLinks/externalLink43.xml"/><Relationship Id="rId66" Type="http://schemas.openxmlformats.org/officeDocument/2006/relationships/externalLink" Target="externalLinks/externalLink64.xml"/><Relationship Id="rId87" Type="http://schemas.openxmlformats.org/officeDocument/2006/relationships/externalLink" Target="externalLinks/externalLink85.xml"/><Relationship Id="rId110" Type="http://schemas.openxmlformats.org/officeDocument/2006/relationships/externalLink" Target="externalLinks/externalLink108.xml"/><Relationship Id="rId115" Type="http://schemas.openxmlformats.org/officeDocument/2006/relationships/externalLink" Target="externalLinks/externalLink113.xml"/><Relationship Id="rId131" Type="http://schemas.openxmlformats.org/officeDocument/2006/relationships/externalLink" Target="externalLinks/externalLink129.xml"/><Relationship Id="rId136" Type="http://schemas.openxmlformats.org/officeDocument/2006/relationships/externalLink" Target="externalLinks/externalLink134.xml"/><Relationship Id="rId61" Type="http://schemas.openxmlformats.org/officeDocument/2006/relationships/externalLink" Target="externalLinks/externalLink59.xml"/><Relationship Id="rId82" Type="http://schemas.openxmlformats.org/officeDocument/2006/relationships/externalLink" Target="externalLinks/externalLink80.xml"/><Relationship Id="rId19" Type="http://schemas.openxmlformats.org/officeDocument/2006/relationships/externalLink" Target="externalLinks/externalLink17.xml"/><Relationship Id="rId14" Type="http://schemas.openxmlformats.org/officeDocument/2006/relationships/externalLink" Target="externalLinks/externalLink12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56" Type="http://schemas.openxmlformats.org/officeDocument/2006/relationships/externalLink" Target="externalLinks/externalLink54.xml"/><Relationship Id="rId77" Type="http://schemas.openxmlformats.org/officeDocument/2006/relationships/externalLink" Target="externalLinks/externalLink75.xml"/><Relationship Id="rId100" Type="http://schemas.openxmlformats.org/officeDocument/2006/relationships/externalLink" Target="externalLinks/externalLink98.xml"/><Relationship Id="rId105" Type="http://schemas.openxmlformats.org/officeDocument/2006/relationships/externalLink" Target="externalLinks/externalLink103.xml"/><Relationship Id="rId126" Type="http://schemas.openxmlformats.org/officeDocument/2006/relationships/externalLink" Target="externalLinks/externalLink124.xml"/><Relationship Id="rId8" Type="http://schemas.openxmlformats.org/officeDocument/2006/relationships/externalLink" Target="externalLinks/externalLink6.xml"/><Relationship Id="rId51" Type="http://schemas.openxmlformats.org/officeDocument/2006/relationships/externalLink" Target="externalLinks/externalLink49.xml"/><Relationship Id="rId72" Type="http://schemas.openxmlformats.org/officeDocument/2006/relationships/externalLink" Target="externalLinks/externalLink70.xml"/><Relationship Id="rId93" Type="http://schemas.openxmlformats.org/officeDocument/2006/relationships/externalLink" Target="externalLinks/externalLink91.xml"/><Relationship Id="rId98" Type="http://schemas.openxmlformats.org/officeDocument/2006/relationships/externalLink" Target="externalLinks/externalLink96.xml"/><Relationship Id="rId121" Type="http://schemas.openxmlformats.org/officeDocument/2006/relationships/externalLink" Target="externalLinks/externalLink119.xml"/><Relationship Id="rId142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25" Type="http://schemas.openxmlformats.org/officeDocument/2006/relationships/externalLink" Target="externalLinks/externalLink23.xml"/><Relationship Id="rId46" Type="http://schemas.openxmlformats.org/officeDocument/2006/relationships/externalLink" Target="externalLinks/externalLink44.xml"/><Relationship Id="rId67" Type="http://schemas.openxmlformats.org/officeDocument/2006/relationships/externalLink" Target="externalLinks/externalLink65.xml"/><Relationship Id="rId116" Type="http://schemas.openxmlformats.org/officeDocument/2006/relationships/externalLink" Target="externalLinks/externalLink114.xml"/><Relationship Id="rId137" Type="http://schemas.openxmlformats.org/officeDocument/2006/relationships/externalLink" Target="externalLinks/externalLink135.xml"/><Relationship Id="rId20" Type="http://schemas.openxmlformats.org/officeDocument/2006/relationships/externalLink" Target="externalLinks/externalLink18.xml"/><Relationship Id="rId41" Type="http://schemas.openxmlformats.org/officeDocument/2006/relationships/externalLink" Target="externalLinks/externalLink39.xml"/><Relationship Id="rId62" Type="http://schemas.openxmlformats.org/officeDocument/2006/relationships/externalLink" Target="externalLinks/externalLink60.xml"/><Relationship Id="rId83" Type="http://schemas.openxmlformats.org/officeDocument/2006/relationships/externalLink" Target="externalLinks/externalLink81.xml"/><Relationship Id="rId88" Type="http://schemas.openxmlformats.org/officeDocument/2006/relationships/externalLink" Target="externalLinks/externalLink86.xml"/><Relationship Id="rId111" Type="http://schemas.openxmlformats.org/officeDocument/2006/relationships/externalLink" Target="externalLinks/externalLink109.xml"/><Relationship Id="rId132" Type="http://schemas.openxmlformats.org/officeDocument/2006/relationships/externalLink" Target="externalLinks/externalLink130.xml"/><Relationship Id="rId15" Type="http://schemas.openxmlformats.org/officeDocument/2006/relationships/externalLink" Target="externalLinks/externalLink13.xml"/><Relationship Id="rId36" Type="http://schemas.openxmlformats.org/officeDocument/2006/relationships/externalLink" Target="externalLinks/externalLink34.xml"/><Relationship Id="rId57" Type="http://schemas.openxmlformats.org/officeDocument/2006/relationships/externalLink" Target="externalLinks/externalLink55.xml"/><Relationship Id="rId106" Type="http://schemas.openxmlformats.org/officeDocument/2006/relationships/externalLink" Target="externalLinks/externalLink104.xml"/><Relationship Id="rId127" Type="http://schemas.openxmlformats.org/officeDocument/2006/relationships/externalLink" Target="externalLinks/externalLink125.xml"/><Relationship Id="rId10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9.xml"/><Relationship Id="rId52" Type="http://schemas.openxmlformats.org/officeDocument/2006/relationships/externalLink" Target="externalLinks/externalLink50.xml"/><Relationship Id="rId73" Type="http://schemas.openxmlformats.org/officeDocument/2006/relationships/externalLink" Target="externalLinks/externalLink71.xml"/><Relationship Id="rId78" Type="http://schemas.openxmlformats.org/officeDocument/2006/relationships/externalLink" Target="externalLinks/externalLink76.xml"/><Relationship Id="rId94" Type="http://schemas.openxmlformats.org/officeDocument/2006/relationships/externalLink" Target="externalLinks/externalLink92.xml"/><Relationship Id="rId99" Type="http://schemas.openxmlformats.org/officeDocument/2006/relationships/externalLink" Target="externalLinks/externalLink97.xml"/><Relationship Id="rId101" Type="http://schemas.openxmlformats.org/officeDocument/2006/relationships/externalLink" Target="externalLinks/externalLink99.xml"/><Relationship Id="rId122" Type="http://schemas.openxmlformats.org/officeDocument/2006/relationships/externalLink" Target="externalLinks/externalLink120.xml"/><Relationship Id="rId143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26" Type="http://schemas.openxmlformats.org/officeDocument/2006/relationships/externalLink" Target="externalLinks/externalLink24.xml"/><Relationship Id="rId47" Type="http://schemas.openxmlformats.org/officeDocument/2006/relationships/externalLink" Target="externalLinks/externalLink45.xml"/><Relationship Id="rId68" Type="http://schemas.openxmlformats.org/officeDocument/2006/relationships/externalLink" Target="externalLinks/externalLink66.xml"/><Relationship Id="rId89" Type="http://schemas.openxmlformats.org/officeDocument/2006/relationships/externalLink" Target="externalLinks/externalLink87.xml"/><Relationship Id="rId112" Type="http://schemas.openxmlformats.org/officeDocument/2006/relationships/externalLink" Target="externalLinks/externalLink110.xml"/><Relationship Id="rId133" Type="http://schemas.openxmlformats.org/officeDocument/2006/relationships/externalLink" Target="externalLinks/externalLink131.xml"/><Relationship Id="rId16" Type="http://schemas.openxmlformats.org/officeDocument/2006/relationships/externalLink" Target="externalLinks/externalLink14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7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8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3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4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3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5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4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6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5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7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6]">
    <ddeItems>
      <ddeItem name="CONTENTSPOSITIONCOLUMN" advise="1">
        <values>
          <value>
            <val>25</val>
          </value>
        </values>
      </ddeItem>
      <ddeItem name="StdDocumentName" ole="1" advise="1"/>
    </ddeItems>
  </ddeLin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8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7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9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8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0]">
    <ddeItems>
      <ddeItem name="CONTENTSPOSITIONCOLUMN" advise="1">
        <values>
          <value>
            <val>-115</val>
          </value>
        </values>
      </ddeItem>
      <ddeItem name="StdDocumentName" ole="1" advise="1"/>
    </ddeItems>
  </ddeLin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9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91]">
    <ddeItems>
      <ddeItem name="CONTENTSPOSITIONCOLUMN" advise="1">
        <values>
          <value>
            <val>-65</val>
          </value>
        </values>
      </ddeItem>
      <ddeItem name="StdDocumentName" ole="1" advise="1"/>
    </ddeItems>
  </ddeLin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0]">
    <ddeItems>
      <ddeItem name="CONTENTSPOSITIONCOLUMN" advise="1">
        <values>
          <value>
            <val>5</val>
          </value>
        </values>
      </ddeItem>
      <ddeItem name="StdDocumentName" ole="1" advise="1"/>
    </ddeItems>
  </ddeLin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1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2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3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4]">
    <ddeItems>
      <ddeItem name="CONTENTSPOSITIONCOLUMN" advise="1">
        <values>
          <value>
            <val>10</val>
          </value>
        </values>
      </ddeItem>
      <ddeItem name="StdDocumentName" ole="1" advise="1"/>
    </ddeItems>
  </ddeLin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09]">
    <ddeItems>
      <ddeItem name="CONTENTSPOSITIONCOLUMN" advise="1">
        <values>
          <value>
            <val>-51</val>
          </value>
        </values>
      </ddeItem>
      <ddeItem name="StdDocumentName" ole="1" advise="1"/>
    </ddeItems>
  </ddeLin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0]">
    <ddeItems>
      <ddeItem name="CONTENTSPOSITIONCOLUMN" advise="1">
        <values>
          <value>
            <val>5</val>
          </value>
        </values>
      </ddeItem>
      <ddeItem name="StdDocumentName" ole="1" advise="1"/>
    </ddeItems>
  </ddeLin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79]">
    <ddeItems>
      <ddeItem name="CONTENTSPOSITIONCOLUMN" advise="1">
        <values>
          <value>
            <val>-24</val>
          </value>
        </values>
      </ddeItem>
      <ddeItem name="StdDocumentName" ole="1" advise="1"/>
    </ddeItems>
  </ddeLin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0]">
    <ddeItems>
      <ddeItem name="CONTENTSPOSITIONCOLUMN" advise="1">
        <values>
          <value>
            <val>10</val>
          </value>
        </values>
      </ddeItem>
      <ddeItem name="StdDocumentName" ole="1" advise="1"/>
    </ddeItems>
  </ddeLin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73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74]">
    <ddeItems>
      <ddeItem name="CONTENTSPOSITIONCOLUMN" advise="1">
        <values>
          <value>
            <val>5</val>
          </value>
        </values>
      </ddeItem>
      <ddeItem name="StdDocumentName" ole="1" advise="1"/>
    </ddeItems>
  </ddeLin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9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0]">
    <ddeItems>
      <ddeItem name="CONTENTSPOSITIONCOLUMN" advise="1">
        <values>
          <value>
            <val>62</val>
          </value>
        </values>
      </ddeItem>
      <ddeItem name="StdDocumentName" ole="1" advise="1"/>
    </ddeItems>
  </ddeLin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67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69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25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30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26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31]">
    <ddeItems>
      <ddeItem name="CONTENTSPOSITIONCOLUMN" advise="1">
        <values>
          <value>
            <val>30</val>
          </value>
        </values>
      </ddeItem>
      <ddeItem name="StdDocumentName" ole="1" advise="1"/>
    </ddeItems>
  </ddeLin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39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40]">
    <ddeItems>
      <ddeItem name="CONTENTSPOSITIONCOLUMN" advise="1">
        <values>
          <value>
            <val>21</val>
          </value>
        </values>
      </ddeItem>
      <ddeItem name="StdDocumentName" ole="1" advise="1"/>
    </ddeItems>
  </ddeLin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27]">
    <ddeItems>
      <ddeItem name="CONTENTSPOSITIONCOLUMN" advise="1">
        <values>
          <value>
            <val>-35</val>
          </value>
        </values>
      </ddeItem>
      <ddeItem name="StdDocumentName" ole="1" advise="1"/>
    </ddeItems>
  </ddeLin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32]">
    <ddeItems>
      <ddeItem name="CONTENTSPOSITIONCOLUMN" advise="1">
        <values>
          <value>
            <val>55</val>
          </value>
        </values>
      </ddeItem>
      <ddeItem name="StdDocumentName" ole="1" advise="1"/>
    </ddeItems>
  </ddeLin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31]">
    <ddeItems>
      <ddeItem name="CONTENTSPOSITIONCOLUMN" advise="1">
        <values>
          <value>
            <val>-99</val>
          </value>
        </values>
      </ddeItem>
      <ddeItem name="StdDocumentName" ole="1" advise="1"/>
    </ddeItems>
  </ddeLin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32]">
    <ddeItems>
      <ddeItem name="CONTENTSPOSITIONCOLUMN" advise="1">
        <values>
          <value>
            <val>100</val>
          </value>
        </values>
      </ddeItem>
      <ddeItem name="StdDocumentName" ole="1" advise="1"/>
    </ddeItems>
  </ddeLin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28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33]">
    <ddeItems>
      <ddeItem name="CONTENTSPOSITIONCOLUMN" advise="1">
        <values>
          <value>
            <val>25</val>
          </value>
        </values>
      </ddeItem>
      <ddeItem name="StdDocumentName" ole="1" advise="1"/>
    </ddeItems>
  </ddeLin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15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20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29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34]">
    <ddeItems>
      <ddeItem name="CONTENTSPOSITIONCOLUMN" advise="1">
        <values>
          <value>
            <val>35</val>
          </value>
        </values>
      </ddeItem>
      <ddeItem name="StdDocumentName" ole="1" advise="1"/>
    </ddeItems>
  </ddeLin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16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21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41]">
    <ddeItems>
      <ddeItem name="CONTENTSPOSITIONCOLUMN" advise="1">
        <values>
          <value>
            <val>-70</val>
          </value>
        </values>
      </ddeItem>
      <ddeItem name="StdDocumentName" ole="1" advise="1"/>
    </ddeItems>
  </ddeLin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42]">
    <ddeItems>
      <ddeItem name="CONTENTSPOSITIONCOLUMN" advise="1">
        <values>
          <value>
            <val>30</val>
          </value>
        </values>
      </ddeItem>
      <ddeItem name="StdDocumentName" ole="1" advise="1"/>
    </ddeItems>
  </ddeLin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17]">
    <ddeItems>
      <ddeItem name="CONTENTSPOSITIONCOLUMN" advise="1">
        <values>
          <value>
            <val>-21</val>
          </value>
        </values>
      </ddeItem>
      <ddeItem name="StdDocumentName" ole="1" advise="1"/>
    </ddeItems>
  </ddeLin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22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49]">
    <ddeItems>
      <ddeItem name="CONTENTSPOSITIONCOLUMN" advise="1">
        <values>
          <value>
            <val>-20</val>
          </value>
        </values>
      </ddeItem>
      <ddeItem name="StdDocumentName" ole="1" advise="1"/>
    </ddeItems>
  </ddeLin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50]">
    <ddeItems>
      <ddeItem name="CONTENTSPOSITIONCOLUMN" advise="1">
        <values>
          <value>
            <val>10</val>
          </value>
        </values>
      </ddeItem>
      <ddeItem name="StdDocumentName" ole="1" advise="1"/>
    </ddeItems>
  </ddeLin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18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23]">
    <ddeItems>
      <ddeItem name="CONTENTSPOSITIONCOLUMN" advise="1">
        <values>
          <value>
            <val>54</val>
          </value>
        </values>
      </ddeItem>
      <ddeItem name="StdDocumentName" ole="1" advise="1"/>
    </ddeItems>
  </ddeLin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19]">
    <ddeItems>
      <ddeItem name="CONTENTSPOSITIONCOLUMN" advise="1">
        <values>
          <value>
            <val>-20</val>
          </value>
        </values>
      </ddeItem>
      <ddeItem name="StdDocumentName" ole="1" advise="1"/>
    </ddeItems>
  </ddeLin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24]">
    <ddeItems>
      <ddeItem name="CONTENTSPOSITIONCOLUMN" advise="1">
        <values>
          <value>
            <val>32</val>
          </value>
        </values>
      </ddeItem>
      <ddeItem name="StdDocumentName" ole="1" advise="1"/>
    </ddeItems>
  </ddeLin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57]">
    <ddeItems>
      <ddeItem name="CONTENTSPOSITIONCOLUMN" advise="1">
        <values>
          <value>
            <val>-20</val>
          </value>
        </values>
      </ddeItem>
      <ddeItem name="StdDocumentName" ole="1" advise="1"/>
    </ddeItems>
  </ddeLin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58]">
    <ddeItems>
      <ddeItem name="CONTENTSPOSITIONCOLUMN" advise="1">
        <values>
          <value>
            <val>10</val>
          </value>
        </values>
      </ddeItem>
      <ddeItem name="StdDocumentName" ole="1" advise="1"/>
    </ddeItems>
  </ddeLin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68]">
    <ddeItems>
      <ddeItem name="CONTENTSPOSITIONCOLUMN" advise="1">
        <values>
          <value>
            <val>-30</val>
          </value>
        </values>
      </ddeItem>
      <ddeItem name="StdDocumentName" ole="1" advise="1"/>
    </ddeItems>
  </ddeLin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70]">
    <ddeItems>
      <ddeItem name="CONTENTSPOSITIONCOLUMN" advise="1">
        <values>
          <value>
            <val>25</val>
          </value>
        </values>
      </ddeItem>
      <ddeItem name="StdDocumentName" ole="1" advise="1"/>
    </ddeItems>
  </ddeLin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65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66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77]">
    <ddeItems>
      <ddeItem name="CONTENTSPOSITIONCOLUMN" advise="1">
        <values>
          <value>
            <val>-25</val>
          </value>
        </values>
      </ddeItem>
      <ddeItem name="StdDocumentName" ole="1" advise="1"/>
    </ddeItems>
  </ddeLin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78]">
    <ddeItems>
      <ddeItem name="CONTENTSPOSITIONCOLUMN" advise="1">
        <values>
          <value>
            <val>25</val>
          </value>
        </values>
      </ddeItem>
      <ddeItem name="StdDocumentName" ole="1" advise="1"/>
    </ddeItems>
  </ddeLin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71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072]">
    <ddeItems>
      <ddeItem name="CONTENTSPOSITIONCOLUMN" advise="1">
        <values>
          <value>
            <val>22</val>
          </value>
        </values>
      </ddeItem>
      <ddeItem name="StdDocumentName" ole="1" advise="1"/>
    </ddeItems>
  </ddeLin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85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86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93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194]">
    <ddeItems>
      <ddeItem name="CONTENTSPOSITIONCOLUMN" advise="1">
        <values>
          <value>
            <val>10</val>
          </value>
        </values>
      </ddeItem>
      <ddeItem name="StdDocumentName" ole="1" advise="1"/>
    </ddeItems>
  </ddeLin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01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02]">
    <ddeItems>
      <ddeItem name="CONTENTSPOSITIONCOLUMN" advise="1">
        <values>
          <value>
            <val>5</val>
          </value>
        </values>
      </ddeItem>
      <ddeItem name="StdDocumentName" ole="1" advise="1"/>
    </ddeItems>
  </ddeLin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09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0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1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1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8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75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76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1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4]">
    <ddeItems>
      <ddeItem name="CONTENTSPOSITIONCOLUMN" advise="1">
        <values>
          <value>
            <val>35</val>
          </value>
        </values>
      </ddeItem>
      <ddeItem name="StdDocumentName" ole="1" advise="1"/>
    </ddeItems>
  </ddeLin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5]">
    <ddeItems>
      <ddeItem name="CONTENTSPOSITIONCOLUMN" advise="1">
        <values>
          <value>
            <val>40</val>
          </value>
        </values>
      </ddeItem>
      <ddeItem name="StdDocumentName" ole="1" advise="1"/>
    </ddeItems>
  </ddeLin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3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46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3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4]">
    <ddeItems>
      <ddeItem name="CONTENTSPOSITIONCOLUMN" advise="1">
        <values>
          <value>
            <val>15</val>
          </value>
        </values>
      </ddeItem>
      <ddeItem name="StdDocumentName" ole="1" advise="1"/>
    </ddeItems>
  </ddeLin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1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2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9]">
    <ddeItems>
      <ddeItem name="CONTENTSPOSITIONCOLUMN" advise="1">
        <values>
          <value>
            <val>-20</val>
          </value>
        </values>
      </ddeItem>
      <ddeItem name="StdDocumentName" ole="1" advise="1"/>
    </ddeItems>
  </ddeLin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30]">
    <ddeItems>
      <ddeItem name="CONTENTSPOSITIONCOLUMN" advise="1">
        <values>
          <value>
            <val>28</val>
          </value>
        </values>
      </ddeItem>
      <ddeItem name="StdDocumentName" ole="1" advise="1"/>
    </ddeItems>
  </ddeLin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1]">
    <ddeItems>
      <ddeItem name="CONTENTSPOSITIONCOLUMN" advise="1">
        <values>
          <value>
            <val>-18</val>
          </value>
        </values>
      </ddeItem>
      <ddeItem name="StdDocumentName" ole="1" advise="1"/>
    </ddeItems>
  </ddeLin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0]">
    <ddeItems>
      <ddeItem name="CONTENTSPOSITIONCOLUMN" advise="1">
        <values>
          <value>
            <val>15</val>
          </value>
        </values>
      </ddeItem>
      <ddeItem name="StdDocumentName" ole="1" advise="1"/>
    </ddeItems>
  </ddeLin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2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1]">
    <ddeItems>
      <ddeItem name="CONTENTSPOSITIONCOLUMN" advise="1">
        <values>
          <value>
            <val>4</val>
          </value>
        </values>
      </ddeItem>
      <ddeItem name="StdDocumentName" ole="1" advise="1"/>
    </ddeItems>
  </ddeLin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3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2]">
    <ddeItems>
      <ddeItem name="CONTENTSPOSITIONCOLUMN" advise="1">
        <values>
          <value>
            <val>34</val>
          </value>
        </values>
      </ddeItem>
      <ddeItem name="StdDocumentName" ole="1" advise="1"/>
    </ddeItems>
  </ddeLin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4]">
    <ddeItems>
      <ddeItem name="CONTENTSPOSITIONCOLUMN" advise="1">
        <values>
          <value>
            <val>-1</val>
          </value>
        </values>
      </ddeItem>
      <ddeItem name="StdDocumentName" ole="1" advise="1"/>
    </ddeItems>
  </ddeLin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3]">
    <ddeItems>
      <ddeItem name="CONTENTSPOSITIONCOLUMN" advise="1">
        <values>
          <value>
            <val>5</val>
          </value>
        </values>
      </ddeItem>
      <ddeItem name="StdDocumentName" ole="1" advise="1"/>
    </ddeItems>
  </ddeLin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5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4]">
    <ddeItems>
      <ddeItem name="CONTENTSPOSITIONCOLUMN" advise="1">
        <values>
          <value>
            <val>7</val>
          </value>
        </values>
      </ddeItem>
      <ddeItem name="StdDocumentName" ole="1" advise="1"/>
    </ddeItems>
  </ddeLin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6]">
    <ddeItems>
      <ddeItem name="CONTENTSPOSITIONCOLUMN" advise="1">
        <values>
          <value>
            <val>-21</val>
          </value>
        </values>
      </ddeItem>
      <ddeItem name="StdDocumentName" ole="1" advise="1"/>
    </ddeItems>
  </ddeLin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5]">
    <ddeItems>
      <ddeItem name="CONTENTSPOSITIONCOLUMN" advise="1">
        <values>
          <value>
            <val>7</val>
          </value>
        </values>
      </ddeItem>
      <ddeItem name="StdDocumentName" ole="1" advise="1"/>
    </ddeItems>
  </ddeLin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7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6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8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7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19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228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31]">
    <ddeItems>
      <ddeItem name="CONTENTSPOSITIONCOLUMN" advise="1">
        <values>
          <value>
            <val>-34</val>
          </value>
        </values>
      </ddeItem>
      <ddeItem name="StdDocumentName" ole="1" advise="1"/>
    </ddeItems>
  </ddeLin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3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3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2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4]">
    <ddeItems>
      <ddeItem name="CONTENTSPOSITIONCOLUMN" advise="1">
        <values>
          <value>
            <val>-10</val>
          </value>
        </values>
      </ddeItem>
      <ddeItem name="StdDocumentName" ole="1" advise="1"/>
    </ddeItems>
  </ddeLin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3]">
    <ddeItems>
      <ddeItem name="CONTENTSPOSITIONCOLUMN" advise="1">
        <values>
          <value>
            <val>0</val>
          </value>
        </values>
      </ddeItem>
      <ddeItem name="StdDocumentName" ole="1" advise="1"/>
    </ddeItems>
  </ddeLin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5]">
    <ddeItems>
      <ddeItem name="CONTENTSPOSITIONCOLUMN" advise="1">
        <values>
          <value>
            <val>-13</val>
          </value>
        </values>
      </ddeItem>
      <ddeItem name="StdDocumentName" ole="1" advise="1"/>
    </ddeItems>
  </ddeLin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4]">
    <ddeItems>
      <ddeItem name="CONTENTSPOSITIONCOLUMN" advise="1">
        <values>
          <value>
            <val>32</val>
          </value>
        </values>
      </ddeItem>
      <ddeItem name="StdDocumentName" ole="1" advise="1"/>
    </ddeItems>
  </ddeLin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6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5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7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6]">
    <ddeItems>
      <ddeItem name="CONTENTSPOSITIONCOLUMN" advise="1">
        <values>
          <value>
            <val>20</val>
          </value>
        </values>
      </ddeItem>
      <ddeItem name="StdDocumentName" ole="1" advise="1"/>
    </ddeItems>
  </ddeLin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8]">
    <ddeItems>
      <ddeItem name="CONTENTSPOSITIONCOLUMN" advise="1">
        <values>
          <value>
            <val>-15</val>
          </value>
        </values>
      </ddeItem>
      <ddeItem name="StdDocumentName" ole="1" advise="1"/>
    </ddeItems>
  </ddeLin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7]">
    <ddeItems>
      <ddeItem name="CONTENTSPOSITIONCOLUMN" advise="1">
        <values>
          <value>
            <val>25</val>
          </value>
        </values>
      </ddeItem>
      <ddeItem name="StdDocumentName" ole="1" advise="1"/>
    </ddeItems>
  </ddeLin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19]">
    <ddeItems>
      <ddeItem name="CONTENTSPOSITIONCOLUMN" advise="1">
        <values>
          <value>
            <val>-5</val>
          </value>
        </values>
      </ddeItem>
      <ddeItem name="StdDocumentName" ole="1" advise="1"/>
    </ddeItems>
  </ddeLin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8]">
    <ddeItems>
      <ddeItem name="CONTENTSPOSITIONCOLUMN" advise="1">
        <values>
          <value>
            <val>23</val>
          </value>
        </values>
      </ddeItem>
      <ddeItem name="StdDocumentName" ole="1" advise="1"/>
    </ddeItems>
  </ddeLin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0]">
    <ddeItems>
      <ddeItem name="CONTENTSPOSITIONCOLUMN" advise="1">
        <values>
          <value>
            <val>-22</val>
          </value>
        </values>
      </ddeItem>
      <ddeItem name="StdDocumentName" ole="1" advise="1"/>
    </ddeItems>
  </ddeLin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9]">
    <ddeItems>
      <ddeItem name="CONTENTSPOSITIONCOLUMN" advise="1">
        <values>
          <value>
            <val>22</val>
          </value>
        </values>
      </ddeItem>
      <ddeItem name="StdDocumentName" ole="1" advise="1"/>
    </ddeItems>
  </ddeLin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21]">
    <ddeItems>
      <ddeItem name="CONTENTSPOSITIONCOLUMN" advise="1">
        <values>
          <value>
            <val>-25</val>
          </value>
        </values>
      </ddeItem>
      <ddeItem name="StdDocumentName" ole="1" advise="1"/>
    </ddeItems>
  </ddeLin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30]">
    <ddeItems>
      <ddeItem name="CONTENTSPOSITIONCOLUMN" advise="1">
        <values>
          <value>
            <val>40</val>
          </value>
        </values>
      </ddeItem>
      <ddeItem name="StdDocumentName" ole="1" advise="1"/>
    </ddeItems>
  </ddeLin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33]">
    <ddeItems>
      <ddeItem name="CONTENTSPOSITIONCOLUMN" advise="1">
        <values>
          <value>
            <val>-42</val>
          </value>
        </values>
      </ddeItem>
      <ddeItem name="StdDocumentName" ole="1" advise="1"/>
    </ddeItems>
  </ddeLin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ORC" ddeTopic="PORTFOLIO[China,CNY,FEEDCODE=551;10001334]">
    <ddeItems>
      <ddeItem name="CONTENTSPOSITIONCOLUMN" advise="1">
        <values>
          <value>
            <val>89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5"/>
  <sheetViews>
    <sheetView topLeftCell="A43" workbookViewId="0">
      <selection activeCell="I69" sqref="I69"/>
    </sheetView>
  </sheetViews>
  <sheetFormatPr defaultRowHeight="15" x14ac:dyDescent="0.25"/>
  <cols>
    <col min="1" max="1" width="18.5703125" bestFit="1" customWidth="1"/>
  </cols>
  <sheetData>
    <row r="1" spans="1:11" ht="18.75" x14ac:dyDescent="0.3">
      <c r="A1" s="4" t="s">
        <v>68</v>
      </c>
    </row>
    <row r="2" spans="1:11" x14ac:dyDescent="0.25">
      <c r="I2" s="5" t="s">
        <v>73</v>
      </c>
      <c r="J2" s="5" t="s">
        <v>74</v>
      </c>
      <c r="K2" s="5" t="s">
        <v>75</v>
      </c>
    </row>
    <row r="3" spans="1:11" x14ac:dyDescent="0.25">
      <c r="B3" s="2">
        <f>[1]!CONTENTSPOSITIONCOLUMN</f>
        <v>-10</v>
      </c>
      <c r="C3" s="2" t="s">
        <v>0</v>
      </c>
      <c r="D3" s="2">
        <f>[2]!CONTENTSPOSITIONCOLUMN</f>
        <v>0</v>
      </c>
      <c r="H3" s="5" t="s">
        <v>69</v>
      </c>
      <c r="I3" s="1">
        <f>SUMIF(B3:D14,"&gt;0")</f>
        <v>60</v>
      </c>
      <c r="J3" s="1">
        <f>SUMIF(B3:D14,"&lt;0")</f>
        <v>-195</v>
      </c>
      <c r="K3" s="1">
        <f>I3-J3</f>
        <v>255</v>
      </c>
    </row>
    <row r="4" spans="1:11" x14ac:dyDescent="0.25">
      <c r="B4" s="2">
        <f>[3]!CONTENTSPOSITIONCOLUMN</f>
        <v>0</v>
      </c>
      <c r="C4" s="2" t="s">
        <v>1</v>
      </c>
      <c r="D4" s="2">
        <f>[4]!CONTENTSPOSITIONCOLUMN</f>
        <v>0</v>
      </c>
      <c r="H4" s="5" t="s">
        <v>70</v>
      </c>
      <c r="I4" s="1">
        <f>SUMIF(B16:D43,"&gt;0")</f>
        <v>711</v>
      </c>
      <c r="J4" s="1">
        <f>SUMIF(B16:D43,"&lt;0")</f>
        <v>-550</v>
      </c>
      <c r="K4" s="1">
        <f t="shared" ref="K4:K6" si="0">I4-J4</f>
        <v>1261</v>
      </c>
    </row>
    <row r="5" spans="1:11" x14ac:dyDescent="0.25">
      <c r="B5" s="2">
        <f>[5]!CONTENTSPOSITIONCOLUMN</f>
        <v>0</v>
      </c>
      <c r="C5" s="2" t="s">
        <v>2</v>
      </c>
      <c r="D5" s="2">
        <f>[6]!CONTENTSPOSITIONCOLUMN</f>
        <v>0</v>
      </c>
      <c r="H5" s="5" t="s">
        <v>71</v>
      </c>
      <c r="I5" s="1">
        <f>SUMIF(B45:D62,"&gt;0")</f>
        <v>230</v>
      </c>
      <c r="J5" s="1">
        <f>SUMIF(B45:D62,"&lt;0")</f>
        <v>-115</v>
      </c>
      <c r="K5" s="1">
        <f t="shared" si="0"/>
        <v>345</v>
      </c>
    </row>
    <row r="6" spans="1:11" x14ac:dyDescent="0.25">
      <c r="B6" s="2">
        <f>[7]!CONTENTSPOSITIONCOLUMN</f>
        <v>0</v>
      </c>
      <c r="C6" s="2" t="s">
        <v>3</v>
      </c>
      <c r="D6" s="2">
        <f>[8]!CONTENTSPOSITIONCOLUMN</f>
        <v>0</v>
      </c>
      <c r="H6" s="5" t="s">
        <v>72</v>
      </c>
      <c r="I6" s="1">
        <f>SUMIF(B64:D74,"&gt;0")</f>
        <v>271</v>
      </c>
      <c r="J6" s="1">
        <f>SUMIF(B64:D74,"&lt;0")</f>
        <v>-181</v>
      </c>
      <c r="K6" s="1">
        <f t="shared" si="0"/>
        <v>452</v>
      </c>
    </row>
    <row r="7" spans="1:11" x14ac:dyDescent="0.25">
      <c r="B7" s="2">
        <f>[9]!CONTENTSPOSITIONCOLUMN</f>
        <v>0</v>
      </c>
      <c r="C7" s="2" t="s">
        <v>4</v>
      </c>
      <c r="D7" s="2">
        <f>[10]!CONTENTSPOSITIONCOLUMN</f>
        <v>0</v>
      </c>
    </row>
    <row r="8" spans="1:11" x14ac:dyDescent="0.25">
      <c r="B8" s="2">
        <f>[11]!CONTENTSPOSITIONCOLUMN</f>
        <v>0</v>
      </c>
      <c r="C8" s="2" t="s">
        <v>5</v>
      </c>
      <c r="D8" s="2">
        <f>[12]!CONTENTSPOSITIONCOLUMN</f>
        <v>25</v>
      </c>
    </row>
    <row r="9" spans="1:11" x14ac:dyDescent="0.25">
      <c r="B9" s="2">
        <f>[13]!CONTENTSPOSITIONCOLUMN</f>
        <v>0</v>
      </c>
      <c r="C9" s="2" t="s">
        <v>6</v>
      </c>
      <c r="D9" s="2">
        <f>[14]!CONTENTSPOSITIONCOLUMN</f>
        <v>0</v>
      </c>
    </row>
    <row r="10" spans="1:11" x14ac:dyDescent="0.25">
      <c r="B10" s="2">
        <f>[15]!CONTENTSPOSITIONCOLUMN</f>
        <v>-5</v>
      </c>
      <c r="C10" s="2" t="s">
        <v>7</v>
      </c>
      <c r="D10" s="2">
        <f>[16]!CONTENTSPOSITIONCOLUMN</f>
        <v>0</v>
      </c>
    </row>
    <row r="11" spans="1:11" x14ac:dyDescent="0.25">
      <c r="B11" s="2">
        <f>[17]!CONTENTSPOSITIONCOLUMN</f>
        <v>-115</v>
      </c>
      <c r="C11" s="2" t="s">
        <v>8</v>
      </c>
      <c r="D11" s="2">
        <f>[18]!CONTENTSPOSITIONCOLUMN</f>
        <v>0</v>
      </c>
    </row>
    <row r="12" spans="1:11" x14ac:dyDescent="0.25">
      <c r="B12" s="2">
        <f>[19]!CONTENTSPOSITIONCOLUMN</f>
        <v>-65</v>
      </c>
      <c r="C12" s="2" t="s">
        <v>9</v>
      </c>
      <c r="D12" s="2">
        <f>[20]!CONTENTSPOSITIONCOLUMN</f>
        <v>5</v>
      </c>
    </row>
    <row r="13" spans="1:11" x14ac:dyDescent="0.25">
      <c r="B13" s="2">
        <f>[21]!CONTENTSPOSITIONCOLUMN</f>
        <v>0</v>
      </c>
      <c r="C13" s="2" t="s">
        <v>10</v>
      </c>
      <c r="D13" s="2">
        <f>[22]!CONTENTSPOSITIONCOLUMN</f>
        <v>20</v>
      </c>
    </row>
    <row r="14" spans="1:11" x14ac:dyDescent="0.25">
      <c r="B14" s="2">
        <f>[23]!CONTENTSPOSITIONCOLUMN</f>
        <v>0</v>
      </c>
      <c r="C14" s="2" t="s">
        <v>11</v>
      </c>
      <c r="D14" s="2">
        <f>[24]!CONTENTSPOSITIONCOLUMN</f>
        <v>10</v>
      </c>
    </row>
    <row r="15" spans="1:11" ht="6.75" customHeight="1" x14ac:dyDescent="0.25">
      <c r="B15" s="3"/>
      <c r="C15" s="3"/>
      <c r="D15" s="3"/>
    </row>
    <row r="16" spans="1:11" x14ac:dyDescent="0.25">
      <c r="B16" s="2">
        <f>[25]!CONTENTSPOSITIONCOLUMN</f>
        <v>-51</v>
      </c>
      <c r="C16" s="2" t="s">
        <v>12</v>
      </c>
      <c r="D16" s="2">
        <f>[26]!CONTENTSPOSITIONCOLUMN</f>
        <v>5</v>
      </c>
    </row>
    <row r="17" spans="2:4" x14ac:dyDescent="0.25">
      <c r="B17" s="2">
        <f>[27]!CONTENTSPOSITIONCOLUMN</f>
        <v>-24</v>
      </c>
      <c r="C17" s="2" t="s">
        <v>13</v>
      </c>
      <c r="D17" s="2">
        <f>[28]!CONTENTSPOSITIONCOLUMN</f>
        <v>10</v>
      </c>
    </row>
    <row r="18" spans="2:4" x14ac:dyDescent="0.25">
      <c r="B18" s="2">
        <f>[29]!CONTENTSPOSITIONCOLUMN</f>
        <v>-10</v>
      </c>
      <c r="C18" s="2" t="s">
        <v>14</v>
      </c>
      <c r="D18" s="2">
        <f>[30]!CONTENTSPOSITIONCOLUMN</f>
        <v>5</v>
      </c>
    </row>
    <row r="19" spans="2:4" x14ac:dyDescent="0.25">
      <c r="B19" s="2">
        <f>[31]!CONTENTSPOSITIONCOLUMN</f>
        <v>-10</v>
      </c>
      <c r="C19" s="2" t="s">
        <v>15</v>
      </c>
      <c r="D19" s="2">
        <f>[32]!CONTENTSPOSITIONCOLUMN</f>
        <v>62</v>
      </c>
    </row>
    <row r="20" spans="2:4" x14ac:dyDescent="0.25">
      <c r="B20" s="2">
        <f>[33]!CONTENTSPOSITIONCOLUMN</f>
        <v>-15</v>
      </c>
      <c r="C20" s="2" t="s">
        <v>16</v>
      </c>
      <c r="D20" s="2">
        <f>[34]!CONTENTSPOSITIONCOLUMN</f>
        <v>20</v>
      </c>
    </row>
    <row r="21" spans="2:4" x14ac:dyDescent="0.25">
      <c r="B21" s="2">
        <f>[35]!CONTENTSPOSITIONCOLUMN</f>
        <v>0</v>
      </c>
      <c r="C21" s="2" t="s">
        <v>17</v>
      </c>
      <c r="D21" s="2">
        <f>[36]!CONTENTSPOSITIONCOLUMN</f>
        <v>20</v>
      </c>
    </row>
    <row r="22" spans="2:4" x14ac:dyDescent="0.25">
      <c r="B22" s="2">
        <f>[37]!CONTENTSPOSITIONCOLUMN</f>
        <v>-5</v>
      </c>
      <c r="C22" s="2" t="s">
        <v>18</v>
      </c>
      <c r="D22" s="2">
        <f>[38]!CONTENTSPOSITIONCOLUMN</f>
        <v>30</v>
      </c>
    </row>
    <row r="23" spans="2:4" x14ac:dyDescent="0.25">
      <c r="B23" s="2">
        <f>[39]!CONTENTSPOSITIONCOLUMN</f>
        <v>0</v>
      </c>
      <c r="C23" s="2" t="s">
        <v>18</v>
      </c>
      <c r="D23" s="2">
        <f>[40]!CONTENTSPOSITIONCOLUMN</f>
        <v>21</v>
      </c>
    </row>
    <row r="24" spans="2:4" x14ac:dyDescent="0.25">
      <c r="B24" s="2">
        <f>[41]!CONTENTSPOSITIONCOLUMN</f>
        <v>-35</v>
      </c>
      <c r="C24" s="2" t="s">
        <v>19</v>
      </c>
      <c r="D24" s="2">
        <f>[42]!CONTENTSPOSITIONCOLUMN</f>
        <v>55</v>
      </c>
    </row>
    <row r="25" spans="2:4" x14ac:dyDescent="0.25">
      <c r="B25" s="2">
        <f>[43]!CONTENTSPOSITIONCOLUMN</f>
        <v>-99</v>
      </c>
      <c r="C25" s="2" t="s">
        <v>20</v>
      </c>
      <c r="D25" s="2">
        <f>[44]!CONTENTSPOSITIONCOLUMN</f>
        <v>100</v>
      </c>
    </row>
    <row r="26" spans="2:4" x14ac:dyDescent="0.25">
      <c r="B26" s="2">
        <f>[45]!CONTENTSPOSITIONCOLUMN</f>
        <v>-15</v>
      </c>
      <c r="C26" s="2" t="s">
        <v>21</v>
      </c>
      <c r="D26" s="2">
        <f>[46]!CONTENTSPOSITIONCOLUMN</f>
        <v>25</v>
      </c>
    </row>
    <row r="27" spans="2:4" x14ac:dyDescent="0.25">
      <c r="B27" s="2">
        <f>[47]!CONTENTSPOSITIONCOLUMN</f>
        <v>-15</v>
      </c>
      <c r="C27" s="2" t="s">
        <v>22</v>
      </c>
      <c r="D27" s="2">
        <f>[48]!CONTENTSPOSITIONCOLUMN</f>
        <v>20</v>
      </c>
    </row>
    <row r="28" spans="2:4" x14ac:dyDescent="0.25">
      <c r="B28" s="2">
        <f>[49]!CONTENTSPOSITIONCOLUMN</f>
        <v>-5</v>
      </c>
      <c r="C28" s="2" t="s">
        <v>23</v>
      </c>
      <c r="D28" s="2">
        <f>[50]!CONTENTSPOSITIONCOLUMN</f>
        <v>35</v>
      </c>
    </row>
    <row r="29" spans="2:4" x14ac:dyDescent="0.25">
      <c r="B29" s="2">
        <f>[51]!CONTENTSPOSITIONCOLUMN</f>
        <v>-10</v>
      </c>
      <c r="C29" s="2" t="s">
        <v>24</v>
      </c>
      <c r="D29" s="2">
        <f>[52]!CONTENTSPOSITIONCOLUMN</f>
        <v>20</v>
      </c>
    </row>
    <row r="30" spans="2:4" x14ac:dyDescent="0.25">
      <c r="B30" s="2">
        <f>[53]!CONTENTSPOSITIONCOLUMN</f>
        <v>-70</v>
      </c>
      <c r="C30" s="2" t="s">
        <v>25</v>
      </c>
      <c r="D30" s="2">
        <f>[54]!CONTENTSPOSITIONCOLUMN</f>
        <v>30</v>
      </c>
    </row>
    <row r="31" spans="2:4" x14ac:dyDescent="0.25">
      <c r="B31" s="2">
        <f>[55]!CONTENTSPOSITIONCOLUMN</f>
        <v>-21</v>
      </c>
      <c r="C31" s="2" t="s">
        <v>26</v>
      </c>
      <c r="D31" s="2">
        <f>[56]!CONTENTSPOSITIONCOLUMN</f>
        <v>20</v>
      </c>
    </row>
    <row r="32" spans="2:4" x14ac:dyDescent="0.25">
      <c r="B32" s="2">
        <f>[57]!CONTENTSPOSITIONCOLUMN</f>
        <v>-20</v>
      </c>
      <c r="C32" s="2" t="s">
        <v>27</v>
      </c>
      <c r="D32" s="2">
        <f>[58]!CONTENTSPOSITIONCOLUMN</f>
        <v>10</v>
      </c>
    </row>
    <row r="33" spans="2:4" x14ac:dyDescent="0.25">
      <c r="B33" s="2">
        <f>[59]!CONTENTSPOSITIONCOLUMN</f>
        <v>-15</v>
      </c>
      <c r="C33" s="2" t="s">
        <v>28</v>
      </c>
      <c r="D33" s="2">
        <f>[60]!CONTENTSPOSITIONCOLUMN</f>
        <v>54</v>
      </c>
    </row>
    <row r="34" spans="2:4" x14ac:dyDescent="0.25">
      <c r="B34" s="2">
        <f>[61]!CONTENTSPOSITIONCOLUMN</f>
        <v>-20</v>
      </c>
      <c r="C34" s="2" t="s">
        <v>29</v>
      </c>
      <c r="D34" s="2">
        <f>[62]!CONTENTSPOSITIONCOLUMN</f>
        <v>32</v>
      </c>
    </row>
    <row r="35" spans="2:4" x14ac:dyDescent="0.25">
      <c r="B35" s="2">
        <f>[63]!CONTENTSPOSITIONCOLUMN</f>
        <v>-20</v>
      </c>
      <c r="C35" s="2" t="s">
        <v>30</v>
      </c>
      <c r="D35" s="2">
        <f>[64]!CONTENTSPOSITIONCOLUMN</f>
        <v>10</v>
      </c>
    </row>
    <row r="36" spans="2:4" x14ac:dyDescent="0.25">
      <c r="B36" s="2">
        <f>[65]!CONTENTSPOSITIONCOLUMN</f>
        <v>-30</v>
      </c>
      <c r="C36" s="2" t="s">
        <v>31</v>
      </c>
      <c r="D36" s="2">
        <f>[66]!CONTENTSPOSITIONCOLUMN</f>
        <v>25</v>
      </c>
    </row>
    <row r="37" spans="2:4" x14ac:dyDescent="0.25">
      <c r="B37" s="2">
        <f>[67]!CONTENTSPOSITIONCOLUMN</f>
        <v>-10</v>
      </c>
      <c r="C37" s="2" t="s">
        <v>32</v>
      </c>
      <c r="D37" s="2">
        <f>[68]!CONTENTSPOSITIONCOLUMN</f>
        <v>20</v>
      </c>
    </row>
    <row r="38" spans="2:4" x14ac:dyDescent="0.25">
      <c r="B38" s="2">
        <f>[69]!CONTENTSPOSITIONCOLUMN</f>
        <v>-25</v>
      </c>
      <c r="C38" s="2" t="s">
        <v>33</v>
      </c>
      <c r="D38" s="2">
        <f>[70]!CONTENTSPOSITIONCOLUMN</f>
        <v>25</v>
      </c>
    </row>
    <row r="39" spans="2:4" x14ac:dyDescent="0.25">
      <c r="B39" s="2">
        <f>[71]!CONTENTSPOSITIONCOLUMN</f>
        <v>-15</v>
      </c>
      <c r="C39" s="2" t="s">
        <v>34</v>
      </c>
      <c r="D39" s="2">
        <f>[72]!CONTENTSPOSITIONCOLUMN</f>
        <v>22</v>
      </c>
    </row>
    <row r="40" spans="2:4" x14ac:dyDescent="0.25">
      <c r="B40" s="2">
        <f>[73]!CONTENTSPOSITIONCOLUMN</f>
        <v>-10</v>
      </c>
      <c r="C40" s="2" t="s">
        <v>35</v>
      </c>
      <c r="D40" s="2">
        <f>[74]!CONTENTSPOSITIONCOLUMN</f>
        <v>20</v>
      </c>
    </row>
    <row r="41" spans="2:4" x14ac:dyDescent="0.25">
      <c r="B41" s="2">
        <f>[75]!CONTENTSPOSITIONCOLUMN</f>
        <v>0</v>
      </c>
      <c r="C41" s="2" t="s">
        <v>36</v>
      </c>
      <c r="D41" s="2">
        <f>[76]!CONTENTSPOSITIONCOLUMN</f>
        <v>10</v>
      </c>
    </row>
    <row r="42" spans="2:4" x14ac:dyDescent="0.25">
      <c r="B42" s="2">
        <f>[77]!CONTENTSPOSITIONCOLUMN</f>
        <v>0</v>
      </c>
      <c r="C42" s="2" t="s">
        <v>37</v>
      </c>
      <c r="D42" s="2">
        <f>[78]!CONTENTSPOSITIONCOLUMN</f>
        <v>5</v>
      </c>
    </row>
    <row r="43" spans="2:4" x14ac:dyDescent="0.25">
      <c r="B43" s="2">
        <f>[79]!CONTENTSPOSITIONCOLUMN</f>
        <v>0</v>
      </c>
      <c r="C43" s="2" t="s">
        <v>38</v>
      </c>
      <c r="D43" s="2">
        <f>[80]!CONTENTSPOSITIONCOLUMN</f>
        <v>0</v>
      </c>
    </row>
    <row r="44" spans="2:4" ht="7.5" customHeight="1" x14ac:dyDescent="0.25">
      <c r="B44" s="3"/>
      <c r="C44" s="3"/>
      <c r="D44" s="3"/>
    </row>
    <row r="45" spans="2:4" x14ac:dyDescent="0.25">
      <c r="B45" s="2">
        <f>[81]!CONTENTSPOSITIONCOLUMN</f>
        <v>-5</v>
      </c>
      <c r="C45" s="2" t="s">
        <v>39</v>
      </c>
      <c r="D45" s="2">
        <f>[82]!CONTENTSPOSITIONCOLUMN</f>
        <v>0</v>
      </c>
    </row>
    <row r="46" spans="2:4" x14ac:dyDescent="0.25">
      <c r="B46" s="2">
        <f>[83]!CONTENTSPOSITIONCOLUMN</f>
        <v>0</v>
      </c>
      <c r="C46" s="2" t="s">
        <v>40</v>
      </c>
      <c r="D46" s="2">
        <f>[84]!CONTENTSPOSITIONCOLUMN</f>
        <v>0</v>
      </c>
    </row>
    <row r="47" spans="2:4" x14ac:dyDescent="0.25">
      <c r="B47" s="2">
        <f>[85]!CONTENTSPOSITIONCOLUMN</f>
        <v>0</v>
      </c>
      <c r="C47" s="2" t="s">
        <v>41</v>
      </c>
      <c r="D47" s="2">
        <f>[86]!CONTENTSPOSITIONCOLUMN</f>
        <v>0</v>
      </c>
    </row>
    <row r="48" spans="2:4" x14ac:dyDescent="0.25">
      <c r="B48" s="2">
        <f>[87]!CONTENTSPOSITIONCOLUMN</f>
        <v>-10</v>
      </c>
      <c r="C48" s="2" t="s">
        <v>42</v>
      </c>
      <c r="D48" s="2">
        <f>[88]!CONTENTSPOSITIONCOLUMN</f>
        <v>35</v>
      </c>
    </row>
    <row r="49" spans="2:4" x14ac:dyDescent="0.25">
      <c r="B49" s="2">
        <f>[89]!CONTENTSPOSITIONCOLUMN</f>
        <v>0</v>
      </c>
      <c r="C49" s="2" t="s">
        <v>43</v>
      </c>
      <c r="D49" s="2">
        <f>[90]!CONTENTSPOSITIONCOLUMN</f>
        <v>40</v>
      </c>
    </row>
    <row r="50" spans="2:4" x14ac:dyDescent="0.25">
      <c r="B50" s="2">
        <f>[91]!CONTENTSPOSITIONCOLUMN</f>
        <v>-5</v>
      </c>
      <c r="C50" s="2" t="s">
        <v>44</v>
      </c>
      <c r="D50" s="2">
        <f>[92]!CONTENTSPOSITIONCOLUMN</f>
        <v>20</v>
      </c>
    </row>
    <row r="51" spans="2:4" x14ac:dyDescent="0.25">
      <c r="B51" s="2">
        <f>[93]!CONTENTSPOSITIONCOLUMN</f>
        <v>-5</v>
      </c>
      <c r="C51" s="2" t="s">
        <v>45</v>
      </c>
      <c r="D51" s="2">
        <f>[94]!CONTENTSPOSITIONCOLUMN</f>
        <v>15</v>
      </c>
    </row>
    <row r="52" spans="2:4" x14ac:dyDescent="0.25">
      <c r="B52" s="2">
        <f>[95]!CONTENTSPOSITIONCOLUMN</f>
        <v>0</v>
      </c>
      <c r="C52" s="2" t="s">
        <v>46</v>
      </c>
      <c r="D52" s="2">
        <f>[96]!CONTENTSPOSITIONCOLUMN</f>
        <v>20</v>
      </c>
    </row>
    <row r="53" spans="2:4" x14ac:dyDescent="0.25">
      <c r="B53" s="2">
        <f>[97]!CONTENTSPOSITIONCOLUMN</f>
        <v>-20</v>
      </c>
      <c r="C53" s="2" t="s">
        <v>47</v>
      </c>
      <c r="D53" s="2">
        <f>[98]!CONTENTSPOSITIONCOLUMN</f>
        <v>28</v>
      </c>
    </row>
    <row r="54" spans="2:4" x14ac:dyDescent="0.25">
      <c r="B54" s="2">
        <f>[99]!CONTENTSPOSITIONCOLUMN</f>
        <v>-18</v>
      </c>
      <c r="C54" s="2" t="s">
        <v>48</v>
      </c>
      <c r="D54" s="2">
        <f>[100]!CONTENTSPOSITIONCOLUMN</f>
        <v>15</v>
      </c>
    </row>
    <row r="55" spans="2:4" x14ac:dyDescent="0.25">
      <c r="B55" s="2">
        <f>[101]!CONTENTSPOSITIONCOLUMN</f>
        <v>-10</v>
      </c>
      <c r="C55" s="2" t="s">
        <v>49</v>
      </c>
      <c r="D55" s="2">
        <f>[102]!CONTENTSPOSITIONCOLUMN</f>
        <v>4</v>
      </c>
    </row>
    <row r="56" spans="2:4" x14ac:dyDescent="0.25">
      <c r="B56" s="2">
        <f>[103]!CONTENTSPOSITIONCOLUMN</f>
        <v>-10</v>
      </c>
      <c r="C56" s="2" t="s">
        <v>50</v>
      </c>
      <c r="D56" s="2">
        <f>[104]!CONTENTSPOSITIONCOLUMN</f>
        <v>34</v>
      </c>
    </row>
    <row r="57" spans="2:4" x14ac:dyDescent="0.25">
      <c r="B57" s="2">
        <f>[105]!CONTENTSPOSITIONCOLUMN</f>
        <v>-1</v>
      </c>
      <c r="C57" s="2" t="s">
        <v>51</v>
      </c>
      <c r="D57" s="2">
        <f>[106]!CONTENTSPOSITIONCOLUMN</f>
        <v>5</v>
      </c>
    </row>
    <row r="58" spans="2:4" x14ac:dyDescent="0.25">
      <c r="B58" s="2">
        <f>[107]!CONTENTSPOSITIONCOLUMN</f>
        <v>0</v>
      </c>
      <c r="C58" s="2" t="s">
        <v>52</v>
      </c>
      <c r="D58" s="2">
        <f>[108]!CONTENTSPOSITIONCOLUMN</f>
        <v>7</v>
      </c>
    </row>
    <row r="59" spans="2:4" x14ac:dyDescent="0.25">
      <c r="B59" s="2">
        <f>[109]!CONTENTSPOSITIONCOLUMN</f>
        <v>-21</v>
      </c>
      <c r="C59" s="2" t="s">
        <v>53</v>
      </c>
      <c r="D59" s="2">
        <f>[110]!CONTENTSPOSITIONCOLUMN</f>
        <v>7</v>
      </c>
    </row>
    <row r="60" spans="2:4" x14ac:dyDescent="0.25">
      <c r="B60" s="2">
        <f>[111]!CONTENTSPOSITIONCOLUMN</f>
        <v>-10</v>
      </c>
      <c r="C60" s="2" t="s">
        <v>54</v>
      </c>
      <c r="D60" s="2">
        <f>[112]!CONTENTSPOSITIONCOLUMN</f>
        <v>0</v>
      </c>
    </row>
    <row r="61" spans="2:4" x14ac:dyDescent="0.25">
      <c r="B61" s="2">
        <f>[113]!CONTENTSPOSITIONCOLUMN</f>
        <v>0</v>
      </c>
      <c r="C61" s="2" t="s">
        <v>55</v>
      </c>
      <c r="D61" s="2">
        <f>[114]!CONTENTSPOSITIONCOLUMN</f>
        <v>0</v>
      </c>
    </row>
    <row r="62" spans="2:4" x14ac:dyDescent="0.25">
      <c r="B62" s="2">
        <f>[115]!CONTENTSPOSITIONCOLUMN</f>
        <v>0</v>
      </c>
      <c r="C62" s="2" t="s">
        <v>56</v>
      </c>
      <c r="D62" s="2">
        <f>[116]!CONTENTSPOSITIONCOLUMN</f>
        <v>0</v>
      </c>
    </row>
    <row r="63" spans="2:4" ht="6" customHeight="1" x14ac:dyDescent="0.25">
      <c r="B63" s="3"/>
      <c r="C63" s="3"/>
      <c r="D63" s="3"/>
    </row>
    <row r="64" spans="2:4" x14ac:dyDescent="0.25">
      <c r="B64" s="2">
        <f>[117]!CONTENTSPOSITIONCOLUMN</f>
        <v>-34</v>
      </c>
      <c r="C64" s="2" t="s">
        <v>57</v>
      </c>
      <c r="D64" s="2">
        <f>[118]!CONTENTSPOSITIONCOLUMN</f>
        <v>0</v>
      </c>
    </row>
    <row r="65" spans="2:4" x14ac:dyDescent="0.25">
      <c r="B65" s="2">
        <f>[119]!CONTENTSPOSITIONCOLUMN</f>
        <v>-5</v>
      </c>
      <c r="C65" s="2" t="s">
        <v>58</v>
      </c>
      <c r="D65" s="2">
        <f>[120]!CONTENTSPOSITIONCOLUMN</f>
        <v>0</v>
      </c>
    </row>
    <row r="66" spans="2:4" x14ac:dyDescent="0.25">
      <c r="B66" s="2">
        <f>[121]!CONTENTSPOSITIONCOLUMN</f>
        <v>-10</v>
      </c>
      <c r="C66" s="2" t="s">
        <v>59</v>
      </c>
      <c r="D66" s="2">
        <f>[122]!CONTENTSPOSITIONCOLUMN</f>
        <v>0</v>
      </c>
    </row>
    <row r="67" spans="2:4" x14ac:dyDescent="0.25">
      <c r="B67" s="2">
        <f>[123]!CONTENTSPOSITIONCOLUMN</f>
        <v>-13</v>
      </c>
      <c r="C67" s="2" t="s">
        <v>60</v>
      </c>
      <c r="D67" s="2">
        <f>[124]!CONTENTSPOSITIONCOLUMN</f>
        <v>32</v>
      </c>
    </row>
    <row r="68" spans="2:4" x14ac:dyDescent="0.25">
      <c r="B68" s="2">
        <f>[125]!CONTENTSPOSITIONCOLUMN</f>
        <v>-5</v>
      </c>
      <c r="C68" s="2" t="s">
        <v>61</v>
      </c>
      <c r="D68" s="2">
        <f>[126]!CONTENTSPOSITIONCOLUMN</f>
        <v>20</v>
      </c>
    </row>
    <row r="69" spans="2:4" x14ac:dyDescent="0.25">
      <c r="B69" s="2">
        <f>[127]!CONTENTSPOSITIONCOLUMN</f>
        <v>-5</v>
      </c>
      <c r="C69" s="2" t="s">
        <v>62</v>
      </c>
      <c r="D69" s="2">
        <f>[128]!CONTENTSPOSITIONCOLUMN</f>
        <v>20</v>
      </c>
    </row>
    <row r="70" spans="2:4" x14ac:dyDescent="0.25">
      <c r="B70" s="2">
        <f>[129]!CONTENTSPOSITIONCOLUMN</f>
        <v>-15</v>
      </c>
      <c r="C70" s="2" t="s">
        <v>63</v>
      </c>
      <c r="D70" s="2">
        <f>[130]!CONTENTSPOSITIONCOLUMN</f>
        <v>25</v>
      </c>
    </row>
    <row r="71" spans="2:4" x14ac:dyDescent="0.25">
      <c r="B71" s="2">
        <f>[131]!CONTENTSPOSITIONCOLUMN</f>
        <v>-5</v>
      </c>
      <c r="C71" s="2" t="s">
        <v>64</v>
      </c>
      <c r="D71" s="2">
        <f>[132]!CONTENTSPOSITIONCOLUMN</f>
        <v>23</v>
      </c>
    </row>
    <row r="72" spans="2:4" x14ac:dyDescent="0.25">
      <c r="B72" s="2">
        <f>[133]!CONTENTSPOSITIONCOLUMN</f>
        <v>-22</v>
      </c>
      <c r="C72" s="2" t="s">
        <v>65</v>
      </c>
      <c r="D72" s="2">
        <f>[134]!CONTENTSPOSITIONCOLUMN</f>
        <v>22</v>
      </c>
    </row>
    <row r="73" spans="2:4" x14ac:dyDescent="0.25">
      <c r="B73" s="2">
        <f>[135]!CONTENTSPOSITIONCOLUMN</f>
        <v>-25</v>
      </c>
      <c r="C73" s="2" t="s">
        <v>66</v>
      </c>
      <c r="D73" s="2">
        <f>[136]!CONTENTSPOSITIONCOLUMN</f>
        <v>40</v>
      </c>
    </row>
    <row r="74" spans="2:4" x14ac:dyDescent="0.25">
      <c r="B74" s="2">
        <f>[137]!CONTENTSPOSITIONCOLUMN</f>
        <v>-42</v>
      </c>
      <c r="C74" s="2" t="s">
        <v>67</v>
      </c>
      <c r="D74" s="2">
        <f>[138]!CONTENTSPOSITIONCOLUMN</f>
        <v>89</v>
      </c>
    </row>
    <row r="75" spans="2:4" ht="6" customHeight="1" x14ac:dyDescent="0.25">
      <c r="B75" s="3"/>
      <c r="C75" s="3"/>
      <c r="D75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I15" sqref="I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Position</vt:lpstr>
      <vt:lpstr>Trading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jiaoyi</cp:lastModifiedBy>
  <dcterms:created xsi:type="dcterms:W3CDTF">2015-06-05T18:19:34Z</dcterms:created>
  <dcterms:modified xsi:type="dcterms:W3CDTF">2018-05-22T09:21:37Z</dcterms:modified>
</cp:coreProperties>
</file>